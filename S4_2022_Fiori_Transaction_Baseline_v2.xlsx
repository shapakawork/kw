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Requirements" sheetId="2" state="visible" r:id="rId4"/>
    <sheet name="Tcode Baseline" sheetId="3" state="visible" r:id="rId5"/>
    <sheet name="Data Objects" sheetId="4" state="visible" r:id="rId6"/>
    <sheet name="Upload - Stream A" sheetId="5" state="visible" r:id="rId7"/>
    <sheet name="Upload - Full List" sheetId="6" state="visible" r:id="rId8"/>
    <sheet name="Reconciliation" sheetId="7" state="visible" r:id="rId9"/>
    <sheet name="Open Questions" sheetId="8" state="visible" r:id="rId10"/>
  </sheets>
  <definedNames>
    <definedName function="false" hidden="true" localSheetId="3" name="_xlnm._FilterDatabase" vbProcedure="false">'Data Objects'!$A$4:$E$20</definedName>
    <definedName function="false" hidden="true" localSheetId="1" name="_xlnm._FilterDatabase" vbProcedure="false">Requirements!$A$4:$G$20</definedName>
    <definedName function="false" hidden="true" localSheetId="2" name="_xlnm._FilterDatabase" vbProcedure="false">'Tcode Baseline'!$A$4:$L$155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<sst xmlns="http://schemas.openxmlformats.org/spreadsheetml/2006/main" count="2344" uniqueCount="695">
  <si>
    <t xml:space="preserve">S/4HANA 2022 FPS06 - Fiori Equivalency Analysis</t>
  </si>
  <si>
    <t xml:space="preserve">Revision 2 - rebuilt against the verbatim stakeholder requirement list.</t>
  </si>
  <si>
    <t xml:space="preserve">THE HEADLINE FINDING</t>
  </si>
  <si>
    <t xml:space="preserve">The stakeholder list is not primarily a transaction requirement. It is a data access and reporting requirement. The phrase 'throughout time' or 'current and historical' appears in eleven of the fifteen bullets, alongside 'change history', 'month-end snapshots', and 'all the tables'.</t>
  </si>
  <si>
    <t xml:space="preserve">Fiori apps expose current operational state. A minority expose change history. Effectively none provide point-in-time master data reconstruction. 'What was the MRP type two years ago' has no Fiori answer at any release, because it is not a UI question.</t>
  </si>
  <si>
    <t xml:space="preserve">Running this list through the Fiori Apps Recommendations Analysis unchanged will return apps for most rows, and most of those answers will be wrong - not because the app does not exist, but because the app does not answer the question being asked.</t>
  </si>
  <si>
    <t xml:space="preserve">THE STREAM SPLIT</t>
  </si>
  <si>
    <t xml:space="preserve">Stream A</t>
  </si>
  <si>
    <t xml:space="preserve">Operational. Someone performs a task. Genuine Fiori candidate, assess normally.</t>
  </si>
  <si>
    <t xml:space="preserve">Stream B</t>
  </si>
  <si>
    <t xml:space="preserve">Analytical / historical. Needs CDS views, embedded analytics, or a warehouse layer with snapshots. The Fiori Apps Library is the wrong instrument - it will not tell you whether history is retained.</t>
  </si>
  <si>
    <t xml:space="preserve">Stream A/B</t>
  </si>
  <si>
    <t xml:space="preserve">Both. An operational Fiori app exists and is a valid answer to part of the bullet, but the historical half of the same bullet falls to Stream B.</t>
  </si>
  <si>
    <t xml:space="preserve">Stream C</t>
  </si>
  <si>
    <t xml:space="preserve">Configuration / IMG. Not master data in the transactional sense and largely not Fiori-addressable on-premise.</t>
  </si>
  <si>
    <t xml:space="preserve">Stream D</t>
  </si>
  <si>
    <t xml:space="preserve">Custom objects. No Fiori Apps Library entry exists by definition. Separate disposition track.</t>
  </si>
  <si>
    <t xml:space="preserve">WHAT TO DO WITH THIS</t>
  </si>
  <si>
    <t xml:space="preserve">1</t>
  </si>
  <si>
    <t xml:space="preserve">Split the list before you run anything. Only Stream A and the operational half of A/B belong in the Recommendations Analysis. Two upload files are provided.</t>
  </si>
  <si>
    <t xml:space="preserve">2</t>
  </si>
  <si>
    <t xml:space="preserve">Take the Stream B population back to the stakeholder as a separate conversation. It is a larger and more valuable body of work than the Fiori question, and answering it with app names would be misleading.</t>
  </si>
  <si>
    <t xml:space="preserve">3</t>
  </si>
  <si>
    <t xml:space="preserve">Add a fifth outcome to the coverage matrix alongside Full / Partial / None / GUI-for-HTML: 'Not a UI question - routed to data layer'. Expect it to be the largest bucket.</t>
  </si>
  <si>
    <t xml:space="preserve">4</t>
  </si>
  <si>
    <t xml:space="preserve">Settle Q1 on the Open Questions sheet before anything else. If the underlying driver is a legacy reporting or archive retirement, the Fiori framing may be wrong end to end.</t>
  </si>
  <si>
    <t xml:space="preserve">SHEETS</t>
  </si>
  <si>
    <t xml:space="preserve">Requirements</t>
  </si>
  <si>
    <t xml:space="preserve">The fifteen stakeholder bullets, each with an interpreted capability and a stream classification.</t>
  </si>
  <si>
    <t xml:space="preserve">Tcode Baseline</t>
  </si>
  <si>
    <t xml:space="preserve">Working matrix. Stream column drives everything. Yellow columns are for the ST03N reconciliation.</t>
  </si>
  <si>
    <t xml:space="preserve">Data Objects</t>
  </si>
  <si>
    <t xml:space="preserve">Key tables and objects per requirement. The stakeholder is thinking in tables, so this is the sheet that will make sense to him.</t>
  </si>
  <si>
    <t xml:space="preserve">Upload - Stream A</t>
  </si>
  <si>
    <t xml:space="preserve">Transactions that legitimately belong in a Fiori Recommendations Analysis run.</t>
  </si>
  <si>
    <t xml:space="preserve">Upload - Full List</t>
  </si>
  <si>
    <t xml:space="preserve">Everything, if you want the unfiltered comparison run as a control.</t>
  </si>
  <si>
    <t xml:space="preserve">Reconciliation</t>
  </si>
  <si>
    <t xml:space="preserve">Run 1 vs Run 2 structure. Live counts.</t>
  </si>
  <si>
    <t xml:space="preserve">Open Questions</t>
  </si>
  <si>
    <t xml:space="preserve">Ambiguities that need answers. Several are genuine scope forks, not clarifications.</t>
  </si>
  <si>
    <t xml:space="preserve">Stakeholder Requirements - Verbatim, Interpreted, Classified</t>
  </si>
  <si>
    <t xml:space="preserve">Bullets transcribed as relayed. Stream classification is the load-bearing column - it determines whether a row belongs in the Fiori analysis at all.</t>
  </si>
  <si>
    <t xml:space="preserve">Req ID</t>
  </si>
  <si>
    <t xml:space="preserve">Stakeholder bullet (as relayed)</t>
  </si>
  <si>
    <t xml:space="preserve">Interpreted capability</t>
  </si>
  <si>
    <t xml:space="preserve">Stream</t>
  </si>
  <si>
    <t xml:space="preserve">Why that stream</t>
  </si>
  <si>
    <t xml:space="preserve">Fiori-addressable share (est.)</t>
  </si>
  <si>
    <t xml:space="preserve">Confirmed? (Y/N)</t>
  </si>
  <si>
    <t xml:space="preserve">R-01</t>
  </si>
  <si>
    <t xml:space="preserve">Material master data - all the tables, not just the couple listed. Query current and historical. e.g. what is the MRP type today, and what was it 10 months or 2 years ago</t>
  </si>
  <si>
    <t xml:space="preserve">Material master display across all views/tables, plus point-in-time reconstruction of any field</t>
  </si>
  <si>
    <t xml:space="preserve">A/B</t>
  </si>
  <si>
    <t xml:space="preserve">Display is Stream A. Point-in-time field history is Stream B - change documents or a snapshot layer, not an app.</t>
  </si>
  <si>
    <t xml:space="preserve">~25%</t>
  </si>
  <si>
    <t xml:space="preserve">R-02</t>
  </si>
  <si>
    <t xml:space="preserve">Plant and warehouse master data</t>
  </si>
  <si>
    <t xml:space="preserve">Plant, storage location, warehouse structure reference data</t>
  </si>
  <si>
    <t xml:space="preserve">C</t>
  </si>
  <si>
    <t xml:space="preserve">Plant and storage location are customizing, not master data. Maintained in IMG. Limited on-premise Fiori surface.</t>
  </si>
  <si>
    <t xml:space="preserve">~10%</t>
  </si>
  <si>
    <t xml:space="preserve">R-03</t>
  </si>
  <si>
    <t xml:space="preserve">Source of material master data - source lists, purchasing info records, contracts incl. pricing conditions and scales, supporting tables. Current and historical month-end snapshots</t>
  </si>
  <si>
    <t xml:space="preserve">Sourcing and pricing reference data with month-end point-in-time snapshots</t>
  </si>
  <si>
    <t xml:space="preserve">Display transactions exist. Condition scales and month-end snapshots are firmly Stream B.</t>
  </si>
  <si>
    <t xml:space="preserve">~30%</t>
  </si>
  <si>
    <t xml:space="preserve">R-04</t>
  </si>
  <si>
    <t xml:space="preserve">Vendor master and business partner data, incl. supporting data like ordering address and invoicing party</t>
  </si>
  <si>
    <t xml:space="preserve">BP / vendor master including partner functions and role-specific views</t>
  </si>
  <si>
    <t xml:space="preserve">BP display is Stream A and Fiori coverage is reasonable. Historical snapshots are Stream B.</t>
  </si>
  <si>
    <t xml:space="preserve">~40%</t>
  </si>
  <si>
    <t xml:space="preserve">R-05</t>
  </si>
  <si>
    <t xml:space="preserve">Inventory data - location, quantity, stock types, value. Current and historical snapshots. Absolutely critical to reporting needs</t>
  </si>
  <si>
    <t xml:space="preserve">Stock on hand by org level and stock type, valuated, with point-in-time history</t>
  </si>
  <si>
    <t xml:space="preserve">Stakeholder said 'reporting needs' explicitly. Current stock has strong Fiori coverage; historical is Stream B and complicated by the S/4 data model change - see Data Objects sheet.</t>
  </si>
  <si>
    <t xml:space="preserve">~35%</t>
  </si>
  <si>
    <t xml:space="preserve">R-06</t>
  </si>
  <si>
    <t xml:space="preserve">Reservations - all reservations, open or closed, throughout time, including change history</t>
  </si>
  <si>
    <t xml:space="preserve">Full reservation population over time with change history</t>
  </si>
  <si>
    <t xml:space="preserve">Create/change/display is Stream A. 'All, open or closed, throughout time, with change history' is Stream B.</t>
  </si>
  <si>
    <t xml:space="preserve">R-07</t>
  </si>
  <si>
    <t xml:space="preserve">Planned independent requirements - new concept, need both current and historical snapshots throughout time</t>
  </si>
  <si>
    <t xml:space="preserve">PIR display and maintenance, with version history over time</t>
  </si>
  <si>
    <t xml:space="preserve">PIRs carry a native history table, which helps. Snapshot requirement still Stream B.</t>
  </si>
  <si>
    <t xml:space="preserve">R-08</t>
  </si>
  <si>
    <t xml:space="preserve">Requisitions - purchase requisitions and stock transfer requisitions. All, open or closed, throughout time, including change history</t>
  </si>
  <si>
    <t xml:space="preserve">Full PR and STR population over time with change history</t>
  </si>
  <si>
    <t xml:space="preserve">STRs are PRs by document type - same transactions, no separate app family. History is Stream B.</t>
  </si>
  <si>
    <t xml:space="preserve">R-09</t>
  </si>
  <si>
    <t xml:space="preserve">Orders - purchase orders and stock transfer orders. All, open or closed, throughout time, incl. change history</t>
  </si>
  <si>
    <t xml:space="preserve">Full PO and STO population over time with change history</t>
  </si>
  <si>
    <t xml:space="preserve">Same pattern as R-08. Fiori PO coverage is among the better areas; the 'throughout time' half is not.</t>
  </si>
  <si>
    <t xml:space="preserve">R-10</t>
  </si>
  <si>
    <t xml:space="preserve">Order confirmations - all, open or closed, throughout time</t>
  </si>
  <si>
    <t xml:space="preserve">Supplier order acknowledgements and confirmations against PO items</t>
  </si>
  <si>
    <t xml:space="preserve">Reading this as supplier confirmations given its position between orders and ASNs. See Q3 - production order confirmations would be a different scope entirely.</t>
  </si>
  <si>
    <t xml:space="preserve">R-11</t>
  </si>
  <si>
    <t xml:space="preserve">ASNs / advanced ship notices - SAP might call these outbound deliveries. All, open or closed, throughout time</t>
  </si>
  <si>
    <t xml:space="preserve">Delivery documents against inbound supply</t>
  </si>
  <si>
    <t xml:space="preserve">The stakeholder's own mapping is likely inverted - a supplier ASN is an INBOUND delivery in SAP. See Q2, this materially changes which document family is in scope.</t>
  </si>
  <si>
    <t xml:space="preserve">R-12</t>
  </si>
  <si>
    <t xml:space="preserve">Invoices - all, paid or unpaid, through time. Associated payment data. Any quantity or pricing errors that need resolving</t>
  </si>
  <si>
    <t xml:space="preserve">Supplier invoice population, payment status, and blocked-invoice variance resolution</t>
  </si>
  <si>
    <t xml:space="preserve">The variance resolution half is genuinely operational and well served. The 'all invoices through time with payment data' half is Stream B and crosses into Finance.</t>
  </si>
  <si>
    <t xml:space="preserve">R-13</t>
  </si>
  <si>
    <t xml:space="preserve">Inbound deliveries, pick documents, and anything else the warehouse team needs</t>
  </si>
  <si>
    <t xml:space="preserve">Inbound delivery processing and warehouse picking documents</t>
  </si>
  <si>
    <t xml:space="preserve">Scope depends entirely on WM vs EWM vs neither. See Q4.</t>
  </si>
  <si>
    <t xml:space="preserve">R-14</t>
  </si>
  <si>
    <t xml:space="preserve">Transportation management data - current and historical, throughout time</t>
  </si>
  <si>
    <t xml:space="preserve">Embedded TM objects - freight units, freight orders, transportation units</t>
  </si>
  <si>
    <t xml:space="preserve">Embedded TM in S/4 2022 is already Fiori and Web Dynpro native, so the classic-transaction framing does not apply well here. Assess this one directly against TM business roles rather than via tcode mapping.</t>
  </si>
  <si>
    <t xml:space="preserve">~50%</t>
  </si>
  <si>
    <t xml:space="preserve">R-15</t>
  </si>
  <si>
    <t xml:space="preserve">All inventory transactional data - goods receipts, goods issues, counts, adjustments, transfers</t>
  </si>
  <si>
    <t xml:space="preserve">Full goods movement and physical inventory execution and history</t>
  </si>
  <si>
    <t xml:space="preserve">Execution is Stream A with strong Fiori coverage. 'All transactional data' as a queryable population is Stream B.</t>
  </si>
  <si>
    <t xml:space="preserve">R-16</t>
  </si>
  <si>
    <t xml:space="preserve">Custom tables - surplus transfer logic, auto sourcing, EPPS demand tables, excess material tables</t>
  </si>
  <si>
    <t xml:space="preserve">Custom Z objects supporting surplus, sourcing and excess material processes</t>
  </si>
  <si>
    <t xml:space="preserve">D</t>
  </si>
  <si>
    <t xml:space="preserve">No Fiori Apps Library entry can exist. Stakeholder already assumed this. Needs its own track - custom CDS plus Fiori Elements is the usual answer, but that is a build decision, not a lookup.</t>
  </si>
  <si>
    <t xml:space="preserve">0%</t>
  </si>
  <si>
    <t xml:space="preserve">Candidate Transaction Baseline - Run 1 (Manual, Revision 2)</t>
  </si>
  <si>
    <t xml:space="preserve">Filter Stream = A or A/B to get the population that belongs in a Fiori Recommendations Analysis. Red status cells are transactions not available in S/4HANA on-premise - retained deliberately, because if they appear in the ST03N extract they are your highest-value findings.</t>
  </si>
  <si>
    <t xml:space="preserve">Cluster</t>
  </si>
  <si>
    <t xml:space="preserve">T-Code</t>
  </si>
  <si>
    <t xml:space="preserve">Transaction description</t>
  </si>
  <si>
    <t xml:space="preserve">Priority</t>
  </si>
  <si>
    <t xml:space="preserve">S/4 2022 Status</t>
  </si>
  <si>
    <t xml:space="preserve">Notes / coverage risk</t>
  </si>
  <si>
    <t xml:space="preserve">In ST03N? (Y/N)</t>
  </si>
  <si>
    <t xml:space="preserve">Exec count</t>
  </si>
  <si>
    <t xml:space="preserve">Disposition</t>
  </si>
  <si>
    <t xml:space="preserve">Owner</t>
  </si>
  <si>
    <t xml:space="preserve">Material master</t>
  </si>
  <si>
    <t xml:space="preserve">MM03</t>
  </si>
  <si>
    <t xml:space="preserve">Display Material</t>
  </si>
  <si>
    <t xml:space="preserve">A</t>
  </si>
  <si>
    <t xml:space="preserve">Core</t>
  </si>
  <si>
    <t xml:space="preserve">Available</t>
  </si>
  <si>
    <t xml:space="preserve">Baseline display. Fiori fragments master data display by object and view.</t>
  </si>
  <si>
    <t xml:space="preserve">MM02</t>
  </si>
  <si>
    <t xml:space="preserve">Change Material</t>
  </si>
  <si>
    <t xml:space="preserve">MM01</t>
  </si>
  <si>
    <t xml:space="preserve">Create Material</t>
  </si>
  <si>
    <t xml:space="preserve">Likely</t>
  </si>
  <si>
    <t xml:space="preserve">Usually governed; confirm this population creates material.</t>
  </si>
  <si>
    <t xml:space="preserve">MM04</t>
  </si>
  <si>
    <t xml:space="preserve">Display Material Change Documents</t>
  </si>
  <si>
    <t xml:space="preserve">The only standard in-system answer to 'what was the MRP type two years ago' - and only if the field is change-document enabled and the documents have not been archived.</t>
  </si>
  <si>
    <t xml:space="preserve">MM19</t>
  </si>
  <si>
    <t xml:space="preserve">Display Material at Key Date</t>
  </si>
  <si>
    <t xml:space="preserve">Verify</t>
  </si>
  <si>
    <t xml:space="preserve">Point-in-time material master display. Closest native fit to the stated example. Verify it still exists in 2022 and confirm which fields it actually reconstructs - it is narrower than people expect.</t>
  </si>
  <si>
    <t xml:space="preserve">MM60</t>
  </si>
  <si>
    <t xml:space="preserve">Materials List</t>
  </si>
  <si>
    <t xml:space="preserve">MM17</t>
  </si>
  <si>
    <t xml:space="preserve">Mass Maintenance: Material Master</t>
  </si>
  <si>
    <t xml:space="preserve">Mass change is a recurring Fiori gap.</t>
  </si>
  <si>
    <t xml:space="preserve">MM50</t>
  </si>
  <si>
    <t xml:space="preserve">Extend Material Views</t>
  </si>
  <si>
    <t xml:space="preserve">Possible</t>
  </si>
  <si>
    <t xml:space="preserve">MMSC</t>
  </si>
  <si>
    <t xml:space="preserve">Create Storage Location Collectively</t>
  </si>
  <si>
    <t xml:space="preserve">MM06</t>
  </si>
  <si>
    <t xml:space="preserve">Flag Material for Deletion</t>
  </si>
  <si>
    <t xml:space="preserve">MMAM</t>
  </si>
  <si>
    <t xml:space="preserve">Change Material Type</t>
  </si>
  <si>
    <t xml:space="preserve">Plant / org data</t>
  </si>
  <si>
    <t xml:space="preserve">OX10</t>
  </si>
  <si>
    <t xml:space="preserve">Define Plant (IMG)</t>
  </si>
  <si>
    <t xml:space="preserve">Customizing. No Fiori equivalent on-premise; reference data reporting is the realistic ask here.</t>
  </si>
  <si>
    <t xml:space="preserve">OX09</t>
  </si>
  <si>
    <t xml:space="preserve">Define Storage Locations (IMG)</t>
  </si>
  <si>
    <t xml:space="preserve">Customizing.</t>
  </si>
  <si>
    <t xml:space="preserve">OX18</t>
  </si>
  <si>
    <t xml:space="preserve">Assign Plant to Company Code (IMG)</t>
  </si>
  <si>
    <t xml:space="preserve">OMS2</t>
  </si>
  <si>
    <t xml:space="preserve">Material Type Settings (IMG)</t>
  </si>
  <si>
    <t xml:space="preserve">Customizing - supporting table for R-01.</t>
  </si>
  <si>
    <t xml:space="preserve">LS01N</t>
  </si>
  <si>
    <t xml:space="preserve">Create Storage Bin (WM)</t>
  </si>
  <si>
    <t xml:space="preserve">Only if WM active. EWM uses a different object model entirely.</t>
  </si>
  <si>
    <t xml:space="preserve">SM30</t>
  </si>
  <si>
    <t xml:space="preserve">Table Maintenance (V_T001W etc.)</t>
  </si>
  <si>
    <t xml:space="preserve">B</t>
  </si>
  <si>
    <t xml:space="preserve">How the stakeholder will actually get at plant/warehouse reference tables today. Not a Fiori question.</t>
  </si>
  <si>
    <t xml:space="preserve">Source list</t>
  </si>
  <si>
    <t xml:space="preserve">ME03</t>
  </si>
  <si>
    <t xml:space="preserve">Display Source List</t>
  </si>
  <si>
    <t xml:space="preserve">ME01</t>
  </si>
  <si>
    <t xml:space="preserve">Maintain Source List</t>
  </si>
  <si>
    <t xml:space="preserve">ME0M</t>
  </si>
  <si>
    <t xml:space="preserve">Source List for Material</t>
  </si>
  <si>
    <t xml:space="preserve">ME05</t>
  </si>
  <si>
    <t xml:space="preserve">Generate Source List</t>
  </si>
  <si>
    <t xml:space="preserve">Info records</t>
  </si>
  <si>
    <t xml:space="preserve">ME13</t>
  </si>
  <si>
    <t xml:space="preserve">Display Purchasing Info Record</t>
  </si>
  <si>
    <t xml:space="preserve">Note the PIR acronym collision with R-07 - see Q5.</t>
  </si>
  <si>
    <t xml:space="preserve">ME11</t>
  </si>
  <si>
    <t xml:space="preserve">Create Purchasing Info Record</t>
  </si>
  <si>
    <t xml:space="preserve">ME12</t>
  </si>
  <si>
    <t xml:space="preserve">Change Purchasing Info Record</t>
  </si>
  <si>
    <t xml:space="preserve">ME1M</t>
  </si>
  <si>
    <t xml:space="preserve">Info Records per Material</t>
  </si>
  <si>
    <t xml:space="preserve">List/analysis view.</t>
  </si>
  <si>
    <t xml:space="preserve">ME1L</t>
  </si>
  <si>
    <t xml:space="preserve">Info Records per Vendor</t>
  </si>
  <si>
    <t xml:space="preserve">ME1P</t>
  </si>
  <si>
    <t xml:space="preserve">Purchase Order Price History</t>
  </si>
  <si>
    <t xml:space="preserve">Explicitly historical - directly on point for the stakeholder's ask, and a good example of a report with no clean Fiori successor.</t>
  </si>
  <si>
    <t xml:space="preserve">Contracts</t>
  </si>
  <si>
    <t xml:space="preserve">ME33K</t>
  </si>
  <si>
    <t xml:space="preserve">Display Contract</t>
  </si>
  <si>
    <t xml:space="preserve">ME31K</t>
  </si>
  <si>
    <t xml:space="preserve">Create Contract</t>
  </si>
  <si>
    <t xml:space="preserve">ME32K</t>
  </si>
  <si>
    <t xml:space="preserve">Change Contract</t>
  </si>
  <si>
    <t xml:space="preserve">ME3L</t>
  </si>
  <si>
    <t xml:space="preserve">Outline Agreements per Vendor</t>
  </si>
  <si>
    <t xml:space="preserve">ME3M</t>
  </si>
  <si>
    <t xml:space="preserve">Outline Agreements per Material</t>
  </si>
  <si>
    <t xml:space="preserve">ME3N</t>
  </si>
  <si>
    <t xml:space="preserve">Outline Agreements by Agreement Number</t>
  </si>
  <si>
    <t xml:space="preserve">Sched. agreements</t>
  </si>
  <si>
    <t xml:space="preserve">ME33L</t>
  </si>
  <si>
    <t xml:space="preserve">Display Scheduling Agreement</t>
  </si>
  <si>
    <t xml:space="preserve">In scope if scheduling agreements are used as a sourcing vehicle.</t>
  </si>
  <si>
    <t xml:space="preserve">Pricing conditions</t>
  </si>
  <si>
    <t xml:space="preserve">MEK3</t>
  </si>
  <si>
    <t xml:space="preserve">Display Purchasing Conditions</t>
  </si>
  <si>
    <t xml:space="preserve">Conditions and scales are the hard part. Scale data sits in its own tables and is rarely surfaced in Fiori.</t>
  </si>
  <si>
    <t xml:space="preserve">MEK1</t>
  </si>
  <si>
    <t xml:space="preserve">Create Purchasing Conditions</t>
  </si>
  <si>
    <t xml:space="preserve">MEK2</t>
  </si>
  <si>
    <t xml:space="preserve">Change Purchasing Conditions</t>
  </si>
  <si>
    <t xml:space="preserve">MEKA</t>
  </si>
  <si>
    <t xml:space="preserve">Conditions: General Overview</t>
  </si>
  <si>
    <t xml:space="preserve">Condition reporting - Stream B in practice.</t>
  </si>
  <si>
    <t xml:space="preserve">MEKE</t>
  </si>
  <si>
    <t xml:space="preserve">Conditions by Vendor</t>
  </si>
  <si>
    <t xml:space="preserve">MEKL</t>
  </si>
  <si>
    <t xml:space="preserve">Price Change: Scheduling Agreements</t>
  </si>
  <si>
    <t xml:space="preserve">Business partner</t>
  </si>
  <si>
    <t xml:space="preserve">BP</t>
  </si>
  <si>
    <t xml:space="preserve">Maintain Business Partner</t>
  </si>
  <si>
    <t xml:space="preserve">Single point of entry in S/4. This is the transaction, not the vendor-specific ones below.</t>
  </si>
  <si>
    <t xml:space="preserve">XK03</t>
  </si>
  <si>
    <t xml:space="preserve">Display Vendor (centrally)</t>
  </si>
  <si>
    <t xml:space="preserve">Not in S/4 - redirect</t>
  </si>
  <si>
    <t xml:space="preserve">Redirected to BP in S/4. Retained because it will appear in an ECC ST03N extract in volume.</t>
  </si>
  <si>
    <t xml:space="preserve">XK01</t>
  </si>
  <si>
    <t xml:space="preserve">Create Vendor (centrally)</t>
  </si>
  <si>
    <t xml:space="preserve">Redirected to BP.</t>
  </si>
  <si>
    <t xml:space="preserve">XK02</t>
  </si>
  <si>
    <t xml:space="preserve">Change Vendor (centrally)</t>
  </si>
  <si>
    <t xml:space="preserve">MK03</t>
  </si>
  <si>
    <t xml:space="preserve">Display Vendor (purchasing)</t>
  </si>
  <si>
    <t xml:space="preserve">FK03</t>
  </si>
  <si>
    <t xml:space="preserve">Display Vendor (accounting)</t>
  </si>
  <si>
    <t xml:space="preserve">MKVZ</t>
  </si>
  <si>
    <t xml:space="preserve">Vendor List: Purchasing</t>
  </si>
  <si>
    <t xml:space="preserve">XK99</t>
  </si>
  <si>
    <t xml:space="preserve">Mass Maintenance: Vendors</t>
  </si>
  <si>
    <t xml:space="preserve">Mass maintenance under BP works differently - verify.</t>
  </si>
  <si>
    <t xml:space="preserve">WYT3</t>
  </si>
  <si>
    <t xml:space="preserve">Partner Functions (vendor)</t>
  </si>
  <si>
    <t xml:space="preserve">Ordering address and invoicing party live here. Named explicitly by the stakeholder, and a likely Fiori gap.</t>
  </si>
  <si>
    <t xml:space="preserve">Stock inquiry</t>
  </si>
  <si>
    <t xml:space="preserve">MMBE</t>
  </si>
  <si>
    <t xml:space="preserve">Stock Overview</t>
  </si>
  <si>
    <t xml:space="preserve">Most-requested inquiry. Fiori splits single- vs multiple-material.</t>
  </si>
  <si>
    <t xml:space="preserve">MB52</t>
  </si>
  <si>
    <t xml:space="preserve">List of Stock on Hand</t>
  </si>
  <si>
    <t xml:space="preserve">MB5B</t>
  </si>
  <si>
    <t xml:space="preserve">Stocks for Posting Date</t>
  </si>
  <si>
    <t xml:space="preserve">The point-in-time stock report. Directly answers the historical half of R-05 and is the single most important row on this sheet for that requirement.</t>
  </si>
  <si>
    <t xml:space="preserve">MB5L</t>
  </si>
  <si>
    <t xml:space="preserve">Stock Value: Balances</t>
  </si>
  <si>
    <t xml:space="preserve">Valuated stock - may sit under a Finance role.</t>
  </si>
  <si>
    <t xml:space="preserve">MB53</t>
  </si>
  <si>
    <t xml:space="preserve">Display Plant Stock Availability</t>
  </si>
  <si>
    <t xml:space="preserve">MB5T</t>
  </si>
  <si>
    <t xml:space="preserve">Stock in Transit</t>
  </si>
  <si>
    <t xml:space="preserve">Relevant given STOs are in scope per R-09.</t>
  </si>
  <si>
    <t xml:space="preserve">MB5M</t>
  </si>
  <si>
    <t xml:space="preserve">Shelf-Life Expiration Date List</t>
  </si>
  <si>
    <t xml:space="preserve">Only if shelf-life management active.</t>
  </si>
  <si>
    <t xml:space="preserve">MB5S</t>
  </si>
  <si>
    <t xml:space="preserve">Display GR/IR Balances</t>
  </si>
  <si>
    <t xml:space="preserve">Crosses into R-12.</t>
  </si>
  <si>
    <t xml:space="preserve">CO09</t>
  </si>
  <si>
    <t xml:space="preserve">Availability Overview (ATP)</t>
  </si>
  <si>
    <t xml:space="preserve">MC.9</t>
  </si>
  <si>
    <t xml:space="preserve">Inventory Controlling: Material Analysis</t>
  </si>
  <si>
    <t xml:space="preserve">LIS. De-emphasised in S/4 in favour of CDS-based analytics - a Stream B answer by construction.</t>
  </si>
  <si>
    <t xml:space="preserve">LS26</t>
  </si>
  <si>
    <t xml:space="preserve">Warehouse Stock per Material (WM)</t>
  </si>
  <si>
    <t xml:space="preserve">WM/EWM conditional - see Q4.</t>
  </si>
  <si>
    <t xml:space="preserve">LX02</t>
  </si>
  <si>
    <t xml:space="preserve">Stock per Storage Bin (WM)</t>
  </si>
  <si>
    <t xml:space="preserve">WM/EWM conditional.</t>
  </si>
  <si>
    <t xml:space="preserve">LX03</t>
  </si>
  <si>
    <t xml:space="preserve">Bin Status Report (WM)</t>
  </si>
  <si>
    <t xml:space="preserve">Reservations</t>
  </si>
  <si>
    <t xml:space="preserve">MB23</t>
  </si>
  <si>
    <t xml:space="preserve">Display Reservation</t>
  </si>
  <si>
    <t xml:space="preserve">MB21</t>
  </si>
  <si>
    <t xml:space="preserve">Create Reservation</t>
  </si>
  <si>
    <t xml:space="preserve">MB22</t>
  </si>
  <si>
    <t xml:space="preserve">Change Reservation</t>
  </si>
  <si>
    <t xml:space="preserve">Change scope is the usual gap - check item add/delete and field-level edit.</t>
  </si>
  <si>
    <t xml:space="preserve">MB24</t>
  </si>
  <si>
    <t xml:space="preserve">Reservations by Material</t>
  </si>
  <si>
    <t xml:space="preserve">Closest thing to 'all reservations' - verify the Fiori successor exposes closed/completed as well as open.</t>
  </si>
  <si>
    <t xml:space="preserve">MB25</t>
  </si>
  <si>
    <t xml:space="preserve">Reservations by Account Assignment</t>
  </si>
  <si>
    <t xml:space="preserve">Critical if reservations are order- or WBS-assigned. See Q6.</t>
  </si>
  <si>
    <t xml:space="preserve">MB26</t>
  </si>
  <si>
    <t xml:space="preserve">Picking List / GI for Reservation</t>
  </si>
  <si>
    <t xml:space="preserve">MBVR</t>
  </si>
  <si>
    <t xml:space="preserve">Manage Reservations (reorg)</t>
  </si>
  <si>
    <t xml:space="preserve">Housekeeping - low likelihood of a Fiori successor.</t>
  </si>
  <si>
    <t xml:space="preserve">MD04</t>
  </si>
  <si>
    <t xml:space="preserve">Stock/Requirements List</t>
  </si>
  <si>
    <t xml:space="preserve">How users actually see reservations against a material in practice.</t>
  </si>
  <si>
    <t xml:space="preserve">Planned ind. reqts</t>
  </si>
  <si>
    <t xml:space="preserve">MD63</t>
  </si>
  <si>
    <t xml:space="preserve">Display Planned Independent Requirements</t>
  </si>
  <si>
    <t xml:space="preserve">MD61</t>
  </si>
  <si>
    <t xml:space="preserve">Create Planned Independent Requirements</t>
  </si>
  <si>
    <t xml:space="preserve">MD62</t>
  </si>
  <si>
    <t xml:space="preserve">Change Planned Independent Requirements</t>
  </si>
  <si>
    <t xml:space="preserve">MD73</t>
  </si>
  <si>
    <t xml:space="preserve">Display Total Requirements</t>
  </si>
  <si>
    <t xml:space="preserve">MD74</t>
  </si>
  <si>
    <t xml:space="preserve">Reorganise PIRs - Adjust Requirements</t>
  </si>
  <si>
    <t xml:space="preserve">MD79</t>
  </si>
  <si>
    <t xml:space="preserve">PIR Interface / Display</t>
  </si>
  <si>
    <t xml:space="preserve">Requisitions</t>
  </si>
  <si>
    <t xml:space="preserve">ME53N</t>
  </si>
  <si>
    <t xml:space="preserve">Display Purchase Requisition</t>
  </si>
  <si>
    <t xml:space="preserve">STRs are PRs by document type - no separate transaction or app family.</t>
  </si>
  <si>
    <t xml:space="preserve">ME51N</t>
  </si>
  <si>
    <t xml:space="preserve">Create Purchase Requisition</t>
  </si>
  <si>
    <t xml:space="preserve">ME52N</t>
  </si>
  <si>
    <t xml:space="preserve">Change Purchase Requisition</t>
  </si>
  <si>
    <t xml:space="preserve">ME5A</t>
  </si>
  <si>
    <t xml:space="preserve">List Display of Purchase Requisitions</t>
  </si>
  <si>
    <t xml:space="preserve">The 'all requisitions open or closed' workhorse. Check selection-parameter parity closely.</t>
  </si>
  <si>
    <t xml:space="preserve">ME54N</t>
  </si>
  <si>
    <t xml:space="preserve">Release Purchase Requisition</t>
  </si>
  <si>
    <t xml:space="preserve">ME55</t>
  </si>
  <si>
    <t xml:space="preserve">Collective Release of Requisitions</t>
  </si>
  <si>
    <t xml:space="preserve">ME57</t>
  </si>
  <si>
    <t xml:space="preserve">Assign and Process Requisitions</t>
  </si>
  <si>
    <t xml:space="preserve">ME58</t>
  </si>
  <si>
    <t xml:space="preserve">Ordering: Assigned Requisitions</t>
  </si>
  <si>
    <t xml:space="preserve">MELB</t>
  </si>
  <si>
    <t xml:space="preserve">Requisitions by Account Assignment</t>
  </si>
  <si>
    <t xml:space="preserve">Orders</t>
  </si>
  <si>
    <t xml:space="preserve">ME23N</t>
  </si>
  <si>
    <t xml:space="preserve">Display Purchase Order</t>
  </si>
  <si>
    <t xml:space="preserve">STOs are POs by document type.</t>
  </si>
  <si>
    <t xml:space="preserve">ME21N</t>
  </si>
  <si>
    <t xml:space="preserve">Create Purchase Order</t>
  </si>
  <si>
    <t xml:space="preserve">ME22N</t>
  </si>
  <si>
    <t xml:space="preserve">Change Purchase Order</t>
  </si>
  <si>
    <t xml:space="preserve">ME2N</t>
  </si>
  <si>
    <t xml:space="preserve">Purchase Orders by PO Number</t>
  </si>
  <si>
    <t xml:space="preserve">ME2M</t>
  </si>
  <si>
    <t xml:space="preserve">Purchase Orders by Material</t>
  </si>
  <si>
    <t xml:space="preserve">ME2L</t>
  </si>
  <si>
    <t xml:space="preserve">Purchase Orders by Vendor</t>
  </si>
  <si>
    <t xml:space="preserve">ME2W</t>
  </si>
  <si>
    <t xml:space="preserve">Purchase Orders by Supplying Plant</t>
  </si>
  <si>
    <t xml:space="preserve">The STO-specific view.</t>
  </si>
  <si>
    <t xml:space="preserve">ME2C</t>
  </si>
  <si>
    <t xml:space="preserve">Purchase Orders by Material Group</t>
  </si>
  <si>
    <t xml:space="preserve">ME28</t>
  </si>
  <si>
    <t xml:space="preserve">Release Purchase Order</t>
  </si>
  <si>
    <t xml:space="preserve">ME29N</t>
  </si>
  <si>
    <t xml:space="preserve">Release Purchase Order (single)</t>
  </si>
  <si>
    <t xml:space="preserve">ME9F</t>
  </si>
  <si>
    <t xml:space="preserve">Message Output: Purchase Orders</t>
  </si>
  <si>
    <t xml:space="preserve">Output management is a recurring Fiori gap.</t>
  </si>
  <si>
    <t xml:space="preserve">ME80FN</t>
  </si>
  <si>
    <t xml:space="preserve">General Analyses: Purchasing Documents</t>
  </si>
  <si>
    <t xml:space="preserve">Purchasing analysis with change-view capability - genuinely on point for 'throughout time' and a likely Stream B routing.</t>
  </si>
  <si>
    <t xml:space="preserve">Order confirmations</t>
  </si>
  <si>
    <t xml:space="preserve">ME2A</t>
  </si>
  <si>
    <t xml:space="preserve">Monitor Confirmations / Acknowledgements</t>
  </si>
  <si>
    <t xml:space="preserve">Supplier confirmation monitoring. See Q3 on which confirmation type is meant.</t>
  </si>
  <si>
    <t xml:space="preserve">PO Confirmations Tab (via display)</t>
  </si>
  <si>
    <t xml:space="preserve">Confirmations are a PO item facet, not a standalone document - affects how coverage is assessed.</t>
  </si>
  <si>
    <t xml:space="preserve">ME92F</t>
  </si>
  <si>
    <t xml:space="preserve">Monitor Order Acknowledgement</t>
  </si>
  <si>
    <t xml:space="preserve">CO14</t>
  </si>
  <si>
    <t xml:space="preserve">Display Production Order Confirmation</t>
  </si>
  <si>
    <t xml:space="preserve">Only if Q3 resolves to production confirmations - out of scope otherwise.</t>
  </si>
  <si>
    <t xml:space="preserve">Deliveries</t>
  </si>
  <si>
    <t xml:space="preserve">VL33N</t>
  </si>
  <si>
    <t xml:space="preserve">Display Inbound Delivery</t>
  </si>
  <si>
    <t xml:space="preserve">If ASN means supplier ASN, THIS is the object, not outbound delivery. See Q2.</t>
  </si>
  <si>
    <t xml:space="preserve">VL31N</t>
  </si>
  <si>
    <t xml:space="preserve">Create Inbound Delivery</t>
  </si>
  <si>
    <t xml:space="preserve">VL32N</t>
  </si>
  <si>
    <t xml:space="preserve">Change Inbound Delivery</t>
  </si>
  <si>
    <t xml:space="preserve">VL06I</t>
  </si>
  <si>
    <t xml:space="preserve">Inbound Delivery Monitor</t>
  </si>
  <si>
    <t xml:space="preserve">The 'all inbound deliveries open or closed' view.</t>
  </si>
  <si>
    <t xml:space="preserve">VL03N</t>
  </si>
  <si>
    <t xml:space="preserve">Display Outbound Delivery</t>
  </si>
  <si>
    <t xml:space="preserve">Retained pending Q2 - in scope if outbound really is meant, e.g. for STO shipping.</t>
  </si>
  <si>
    <t xml:space="preserve">VL01N</t>
  </si>
  <si>
    <t xml:space="preserve">Create Outbound Delivery</t>
  </si>
  <si>
    <t xml:space="preserve">VL02N</t>
  </si>
  <si>
    <t xml:space="preserve">Change Outbound Delivery</t>
  </si>
  <si>
    <t xml:space="preserve">VL06O</t>
  </si>
  <si>
    <t xml:space="preserve">Outbound Delivery Monitor</t>
  </si>
  <si>
    <t xml:space="preserve">VL10B</t>
  </si>
  <si>
    <t xml:space="preserve">Delivery Due List - Purchase Orders</t>
  </si>
  <si>
    <t xml:space="preserve">STO delivery creation.</t>
  </si>
  <si>
    <t xml:space="preserve">Picking / WM</t>
  </si>
  <si>
    <t xml:space="preserve">LT03</t>
  </si>
  <si>
    <t xml:space="preserve">Create Transfer Order for Delivery (WM)</t>
  </si>
  <si>
    <t xml:space="preserve">WM only. EWM uses warehouse tasks and a separate app family - see Q4.</t>
  </si>
  <si>
    <t xml:space="preserve">LT21</t>
  </si>
  <si>
    <t xml:space="preserve">Display Transfer Order (WM)</t>
  </si>
  <si>
    <t xml:space="preserve">WM only.</t>
  </si>
  <si>
    <t xml:space="preserve">LT23</t>
  </si>
  <si>
    <t xml:space="preserve">Transfer Order List (WM)</t>
  </si>
  <si>
    <t xml:space="preserve">LT12</t>
  </si>
  <si>
    <t xml:space="preserve">Confirm Transfer Order (WM)</t>
  </si>
  <si>
    <t xml:space="preserve">Invoices</t>
  </si>
  <si>
    <t xml:space="preserve">MIR4</t>
  </si>
  <si>
    <t xml:space="preserve">Display Invoice Document</t>
  </si>
  <si>
    <t xml:space="preserve">MIRO</t>
  </si>
  <si>
    <t xml:space="preserve">Enter Incoming Invoice</t>
  </si>
  <si>
    <t xml:space="preserve">MIR6</t>
  </si>
  <si>
    <t xml:space="preserve">Invoice Overview</t>
  </si>
  <si>
    <t xml:space="preserve">The 'all invoices' selection view.</t>
  </si>
  <si>
    <t xml:space="preserve">MIR5</t>
  </si>
  <si>
    <t xml:space="preserve">Display List of Invoice Documents</t>
  </si>
  <si>
    <t xml:space="preserve">MIR7</t>
  </si>
  <si>
    <t xml:space="preserve">Park Invoice</t>
  </si>
  <si>
    <t xml:space="preserve">MRBR</t>
  </si>
  <si>
    <t xml:space="preserve">Release Blocked Invoices</t>
  </si>
  <si>
    <t xml:space="preserve">This is the stakeholder's 'quantity or pricing errors that need to be resolved'. Genuinely operational and one of the strongest Fiori candidates on the whole list.</t>
  </si>
  <si>
    <t xml:space="preserve">MR11</t>
  </si>
  <si>
    <t xml:space="preserve">GR/IR Account Maintenance</t>
  </si>
  <si>
    <t xml:space="preserve">MR8M</t>
  </si>
  <si>
    <t xml:space="preserve">Cancel Invoice Document</t>
  </si>
  <si>
    <t xml:space="preserve">FB03</t>
  </si>
  <si>
    <t xml:space="preserve">Display FI Document</t>
  </si>
  <si>
    <t xml:space="preserve">Bridge to the payment data half of R-12.</t>
  </si>
  <si>
    <t xml:space="preserve">FBL1N</t>
  </si>
  <si>
    <t xml:space="preserve">Vendor Line Item Display</t>
  </si>
  <si>
    <t xml:space="preserve">Payment status and open/cleared items. In S/4 this is superseded by CDS-based line item apps - a good Stream B example.</t>
  </si>
  <si>
    <t xml:space="preserve">FK10N</t>
  </si>
  <si>
    <t xml:space="preserve">Vendor Balance Display</t>
  </si>
  <si>
    <t xml:space="preserve">F110</t>
  </si>
  <si>
    <t xml:space="preserve">Automatic Payment Run</t>
  </si>
  <si>
    <t xml:space="preserve">Only if the population executes payments - likely out of scope, confirm.</t>
  </si>
  <si>
    <t xml:space="preserve">Transportation mgmt</t>
  </si>
  <si>
    <t xml:space="preserve">(role-based)</t>
  </si>
  <si>
    <t xml:space="preserve">Embedded TM - freight units, freight orders, transportation units</t>
  </si>
  <si>
    <t xml:space="preserve">Embedded TM in S/4 2022 is Fiori and Web Dynpro native. Do NOT assess this via tcode mapping - go directly to the TM business roles in the library. See Q7.</t>
  </si>
  <si>
    <t xml:space="preserve">VT03N</t>
  </si>
  <si>
    <t xml:space="preserve">Display Shipment (LE-TRA)</t>
  </si>
  <si>
    <t xml:space="preserve">Legacy LE-TRA shipment. Only relevant if LE-TRA rather than embedded TM is in use - materially different assessment.</t>
  </si>
  <si>
    <t xml:space="preserve">Goods movements</t>
  </si>
  <si>
    <t xml:space="preserve">MIGO</t>
  </si>
  <si>
    <t xml:space="preserve">Goods Movement (umbrella)</t>
  </si>
  <si>
    <t xml:space="preserve">Fiori deliberately fragments this into narrow task-based apps. Largest single coverage-mapping risk in the exercise.</t>
  </si>
  <si>
    <t xml:space="preserve">MIGO_GR</t>
  </si>
  <si>
    <t xml:space="preserve">Goods Receipt</t>
  </si>
  <si>
    <t xml:space="preserve">MIGO_GI</t>
  </si>
  <si>
    <t xml:space="preserve">Goods Issue</t>
  </si>
  <si>
    <t xml:space="preserve">MIGO_TR</t>
  </si>
  <si>
    <t xml:space="preserve">Transfer Posting</t>
  </si>
  <si>
    <t xml:space="preserve">MB51</t>
  </si>
  <si>
    <t xml:space="preserve">Material Document List</t>
  </si>
  <si>
    <t xml:space="preserve">The 'all inventory transactional data' workhorse. Check movement-type selection parity.</t>
  </si>
  <si>
    <t xml:space="preserve">MB03</t>
  </si>
  <si>
    <t xml:space="preserve">Display Material Document</t>
  </si>
  <si>
    <t xml:space="preserve">MB1A</t>
  </si>
  <si>
    <t xml:space="preserve">Goods Issue (classic)</t>
  </si>
  <si>
    <t xml:space="preserve">Not in S/4. Retained - high expected ECC ST03N volume.</t>
  </si>
  <si>
    <t xml:space="preserve">MB1B</t>
  </si>
  <si>
    <t xml:space="preserve">Transfer Posting (classic)</t>
  </si>
  <si>
    <t xml:space="preserve">Not in S/4.</t>
  </si>
  <si>
    <t xml:space="preserve">MB1C</t>
  </si>
  <si>
    <t xml:space="preserve">Other Goods Receipts (classic)</t>
  </si>
  <si>
    <t xml:space="preserve">MB01</t>
  </si>
  <si>
    <t xml:space="preserve">Goods Receipt for PO (classic)</t>
  </si>
  <si>
    <t xml:space="preserve">MB11</t>
  </si>
  <si>
    <t xml:space="preserve">Goods Movement (classic)</t>
  </si>
  <si>
    <t xml:space="preserve">MB31</t>
  </si>
  <si>
    <t xml:space="preserve">GR for Production Order (classic)</t>
  </si>
  <si>
    <t xml:space="preserve">MBST</t>
  </si>
  <si>
    <t xml:space="preserve">Cancel Material Document (classic)</t>
  </si>
  <si>
    <t xml:space="preserve">Not in S/4 - handled within MIGO.</t>
  </si>
  <si>
    <t xml:space="preserve">Physical inventory</t>
  </si>
  <si>
    <t xml:space="preserve">MI01</t>
  </si>
  <si>
    <t xml:space="preserve">Create Physical Inventory Document</t>
  </si>
  <si>
    <t xml:space="preserve">MI04</t>
  </si>
  <si>
    <t xml:space="preserve">Enter Inventory Count</t>
  </si>
  <si>
    <t xml:space="preserve">Strong mobile-first Fiori candidate - worth presenting as an upside, not just parity.</t>
  </si>
  <si>
    <t xml:space="preserve">MI07</t>
  </si>
  <si>
    <t xml:space="preserve">Process List of Differences</t>
  </si>
  <si>
    <t xml:space="preserve">The stakeholder's 'adjustments'.</t>
  </si>
  <si>
    <t xml:space="preserve">MI03</t>
  </si>
  <si>
    <t xml:space="preserve">Display Physical Inventory Document</t>
  </si>
  <si>
    <t xml:space="preserve">MI20</t>
  </si>
  <si>
    <t xml:space="preserve">List of Inventory Differences</t>
  </si>
  <si>
    <t xml:space="preserve">MI24</t>
  </si>
  <si>
    <t xml:space="preserve">Physical Inventory List</t>
  </si>
  <si>
    <t xml:space="preserve">MI21</t>
  </si>
  <si>
    <t xml:space="preserve">Print Physical Inventory Document</t>
  </si>
  <si>
    <t xml:space="preserve">Print/output is a recurring Fiori gap.</t>
  </si>
  <si>
    <t xml:space="preserve">MI31</t>
  </si>
  <si>
    <t xml:space="preserve">Batch Input: Create PI Documents</t>
  </si>
  <si>
    <t xml:space="preserve">MI37</t>
  </si>
  <si>
    <t xml:space="preserve">Batch Input: Post Differences</t>
  </si>
  <si>
    <t xml:space="preserve">Custom</t>
  </si>
  <si>
    <t xml:space="preserve">(Z-transactions)</t>
  </si>
  <si>
    <t xml:space="preserve">Surplus transfer, auto sourcing, EPPS demand, excess material</t>
  </si>
  <si>
    <t xml:space="preserve">No library entry can exist. Extract the actual Z-transaction codes from ST03N and track separately - they will be a meaningful share of real usage.</t>
  </si>
  <si>
    <t xml:space="preserve">Key Tables and Data Objects by Requirement</t>
  </si>
  <si>
    <t xml:space="preserve">The stakeholder is thinking in tables, so this is the sheet to walk him through. The S/4 notes column matters: several tables he is likely to name from ECC experience no longer hold what he expects in S/4HANA 2022.</t>
  </si>
  <si>
    <t xml:space="preserve">Object area</t>
  </si>
  <si>
    <t xml:space="preserve">Key tables / objects</t>
  </si>
  <si>
    <t xml:space="preserve">Change history source</t>
  </si>
  <si>
    <t xml:space="preserve">S/4 2022 note</t>
  </si>
  <si>
    <t xml:space="preserve">MARA, MARC, MARD, MBEW, MVKE, MAKT, MARM, MLAN, MAPR, MEAN</t>
  </si>
  <si>
    <t xml:space="preserve">CDHDR / CDPOS, object MATERIAL</t>
  </si>
  <si>
    <t xml:space="preserve">MRP type is MARC-DISMM (plant level). Historical values only survive in change documents - confirm archiving policy, because archived change docs end the conversation.</t>
  </si>
  <si>
    <t xml:space="preserve">Inventory / stock</t>
  </si>
  <si>
    <t xml:space="preserve">MATDOC (single source of truth), MARD, MARC, MCHB, MSKA, MSKU, MSLB, MSSA, MSSQ</t>
  </si>
  <si>
    <t xml:space="preserve">Material documents are the history</t>
  </si>
  <si>
    <t xml:space="preserve">MAJOR: in S/4 the aggregate stock tables are no longer persisted with quantities - they are CDS compatibility views computed from MATDOC. Anyone extracting MARD-LABST expecting a stored value needs to know this before designing anything.</t>
  </si>
  <si>
    <t xml:space="preserve">Material documents</t>
  </si>
  <si>
    <t xml:space="preserve">MATDOC; MKPF and MSEG as compatibility views</t>
  </si>
  <si>
    <t xml:space="preserve">MATDOC itself</t>
  </si>
  <si>
    <t xml:space="preserve">MKPF and MSEG are views, not tables, in S/4. Direct-read extracts written against them behave differently.</t>
  </si>
  <si>
    <t xml:space="preserve">Sourcing</t>
  </si>
  <si>
    <t xml:space="preserve">EORD (source list), EINA / EINE (info records), EKKO / EKPO (contracts)</t>
  </si>
  <si>
    <t xml:space="preserve">CDHDR / CDPOS, objects EINKBELEG, INFOSATZ</t>
  </si>
  <si>
    <t xml:space="preserve">Largely unchanged.</t>
  </si>
  <si>
    <t xml:space="preserve">KONH, KONP, KONM (qty scales), KONW (value scales), A-tables</t>
  </si>
  <si>
    <t xml:space="preserve">CDHDR / CDPOS, object COND_A</t>
  </si>
  <si>
    <t xml:space="preserve">Scale data in KONM / KONW is the part with essentially no Fiori surface. If scales matter to reporting, this is a Stream B build.</t>
  </si>
  <si>
    <t xml:space="preserve">Vendor / BP</t>
  </si>
  <si>
    <t xml:space="preserve">BUT000, BUT020, BUT100, LFA1, LFB1, LFM1, LFM2, WYT1 / WYT3</t>
  </si>
  <si>
    <t xml:space="preserve">CDHDR / CDPOS, objects BUPA_BUP, KRED</t>
  </si>
  <si>
    <t xml:space="preserve">BP is the single object in S/4; LFA1 etc. persist for compatibility. Ordering address and invoicing party are partner functions in WYT3.</t>
  </si>
  <si>
    <t xml:space="preserve">RESB, RKPF</t>
  </si>
  <si>
    <t xml:space="preserve">CDHDR / CDPOS - verify the reservation object is change-doc enabled in your config</t>
  </si>
  <si>
    <t xml:space="preserve">Confirm change documents are actually being written for reservations before promising change history.</t>
  </si>
  <si>
    <t xml:space="preserve">PBIM, PBED, PBHI, PBIM_HIS</t>
  </si>
  <si>
    <t xml:space="preserve">PBHI is a native history table</t>
  </si>
  <si>
    <t xml:space="preserve">PIRs are one of the few areas with built-in history persistence - genuinely helpful for R-07.</t>
  </si>
  <si>
    <t xml:space="preserve">EBAN, EBKN</t>
  </si>
  <si>
    <t xml:space="preserve">CDHDR / CDPOS, object BANF</t>
  </si>
  <si>
    <t xml:space="preserve">STRs are EBAN rows distinguished by document type.</t>
  </si>
  <si>
    <t xml:space="preserve">EKKO, EKPO, EKET, EKKN, EKBE</t>
  </si>
  <si>
    <t xml:space="preserve">CDHDR / CDPOS, object EINKBELEG</t>
  </si>
  <si>
    <t xml:space="preserve">EKBE is the PO history table - GR, IR and confirmations against the PO. Directly relevant to R-10, R-12 and R-15.</t>
  </si>
  <si>
    <t xml:space="preserve">EKES, EKEH</t>
  </si>
  <si>
    <t xml:space="preserve">Via EINKBELEG change documents</t>
  </si>
  <si>
    <t xml:space="preserve">Confirmations are PO item facets, not standalone documents.</t>
  </si>
  <si>
    <t xml:space="preserve">LIKP, LIPS, VBFA</t>
  </si>
  <si>
    <t xml:space="preserve">CDHDR / CDPOS, object LIEFERUNG</t>
  </si>
  <si>
    <t xml:space="preserve">Inbound and outbound deliveries share LIKP / LIPS, distinguished by document category. VBFA carries the document flow that ties ASN to PO to GR.</t>
  </si>
  <si>
    <t xml:space="preserve">RBKP, RSEG, BKPF, BSEG, ACDOCA</t>
  </si>
  <si>
    <t xml:space="preserve">CDHDR / CDPOS, objects RECHNUNG, BELEG</t>
  </si>
  <si>
    <t xml:space="preserve">Open/cleared index tables (BSIK, BSAK and siblings) are CDS compatibility views in S/4, not stored tables. Same caution as the stock aggregates.</t>
  </si>
  <si>
    <t xml:space="preserve">LTAK, LTAP (WM); EWM uses /SCWM/ namespace</t>
  </si>
  <si>
    <t xml:space="preserve">Transfer order documents are the history</t>
  </si>
  <si>
    <t xml:space="preserve">WM and EWM are entirely different object models. Q4 decides which of these two rows is even relevant.</t>
  </si>
  <si>
    <t xml:space="preserve">/SCMTMS/ namespace (embedded TM); VTTK / VTTP (legacy LE-TRA)</t>
  </si>
  <si>
    <t xml:space="preserve">Object-specific</t>
  </si>
  <si>
    <t xml:space="preserve">Embedded TM and LE-TRA are different solutions. Establish which is in use before any app mapping.</t>
  </si>
  <si>
    <t xml:space="preserve">Z-tables: surplus transfer, auto sourcing, EPPS demand, excess material</t>
  </si>
  <si>
    <t xml:space="preserve">No library coverage. Extract the actual object names from ST03N and the ABAP repository, then decide build vs data layer per object.</t>
  </si>
  <si>
    <t xml:space="preserve">Operational transactions only. This is the run that will produce meaningful Fiori recommendations. Stream B, C and D rows are deliberately excluded - the library cannot answer their question.</t>
  </si>
  <si>
    <t xml:space="preserve">#</t>
  </si>
  <si>
    <t xml:space="preserve">Total: 131</t>
  </si>
  <si>
    <t xml:space="preserve">Everything, as a control run. Useful for showing the stakeholder what the unfiltered result looks like and why the filtered run is the honest one.</t>
  </si>
  <si>
    <t xml:space="preserve">Total: 148</t>
  </si>
  <si>
    <t xml:space="preserve">Run 1 vs Run 2 Reconciliation</t>
  </si>
  <si>
    <t xml:space="preserve">Live off the Tcode Baseline sheet. Populate columns I-L there and these move.</t>
  </si>
  <si>
    <t xml:space="preserve">Measure</t>
  </si>
  <si>
    <t xml:space="preserve">Count</t>
  </si>
  <si>
    <t xml:space="preserve">What it tells you</t>
  </si>
  <si>
    <t xml:space="preserve">Baseline transactions (Run 1)</t>
  </si>
  <si>
    <t xml:space="preserve">Total manual candidates.</t>
  </si>
  <si>
    <t xml:space="preserve">  Stream A (operational)</t>
  </si>
  <si>
    <t xml:space="preserve">Clean Fiori candidates.</t>
  </si>
  <si>
    <t xml:space="preserve">  Stream A/B (split)</t>
  </si>
  <si>
    <t xml:space="preserve">Operational app exists, but only answers half the bullet.</t>
  </si>
  <si>
    <t xml:space="preserve">  Stream B (analytical)</t>
  </si>
  <si>
    <t xml:space="preserve">Data layer. The library will not answer these.</t>
  </si>
  <si>
    <t xml:space="preserve">  Stream C (config)</t>
  </si>
  <si>
    <t xml:space="preserve">IMG / customizing.</t>
  </si>
  <si>
    <t xml:space="preserve">  Stream D (custom)</t>
  </si>
  <si>
    <t xml:space="preserve">No library entry can exist.</t>
  </si>
  <si>
    <t xml:space="preserve">Not available in S/4 2022</t>
  </si>
  <si>
    <t xml:space="preserve">No on-premise successor transaction. If these show ECC usage in Run 2, they are your highest-value findings.</t>
  </si>
  <si>
    <t xml:space="preserve">Flagged Verify</t>
  </si>
  <si>
    <t xml:space="preserve">Needs confirmation against the Simplification List or the system.</t>
  </si>
  <si>
    <t xml:space="preserve">Confirmed in ST03N</t>
  </si>
  <si>
    <t xml:space="preserve">Business asked for it and people demonstrably use it.</t>
  </si>
  <si>
    <t xml:space="preserve">Manual only - not in ST03N</t>
  </si>
  <si>
    <t xml:space="preserve">Aspirational, low-frequency, or a wrong guess. Challenge each.</t>
  </si>
  <si>
    <t xml:space="preserve">Not yet assessed</t>
  </si>
  <si>
    <t xml:space="preserve">Outstanding reconciliation work.</t>
  </si>
  <si>
    <t xml:space="preserve">Disposition: Fiori - full</t>
  </si>
  <si>
    <t xml:space="preserve">Disposition: Fiori - partial</t>
  </si>
  <si>
    <t xml:space="preserve">Each needs a written gap statement.</t>
  </si>
  <si>
    <t xml:space="preserve">Disposition: Fiori - none</t>
  </si>
  <si>
    <t xml:space="preserve">Disposition: GUI for HTML</t>
  </si>
  <si>
    <t xml:space="preserve">Valid launchpad outcome if Q8 says so.</t>
  </si>
  <si>
    <t xml:space="preserve">Disposition: Data layer</t>
  </si>
  <si>
    <t xml:space="preserve">Expect this to be the largest bucket. That is the finding, not a failure.</t>
  </si>
  <si>
    <t xml:space="preserve">Disposition: Pending</t>
  </si>
  <si>
    <t xml:space="preserve">RECONCILIATION LOGIC</t>
  </si>
  <si>
    <t xml:space="preserve">In both runs</t>
  </si>
  <si>
    <t xml:space="preserve">Accept. The realistic core list.</t>
  </si>
  <si>
    <t xml:space="preserve">Manual only</t>
  </si>
  <si>
    <t xml:space="preserve">Ask directly: do you do this rarely, or do you want something you do not do today? Both valid, different implications.</t>
  </si>
  <si>
    <t xml:space="preserve">ST03N only</t>
  </si>
  <si>
    <t xml:space="preserve">Most interesting bucket. Real usage nobody thought to mention.</t>
  </si>
  <si>
    <t xml:space="preserve">Not in S/4 + present in ST03N</t>
  </si>
  <si>
    <t xml:space="preserve">Escalate. Work being done today with no direct home in the target release.</t>
  </si>
  <si>
    <t xml:space="preserve">Z-transactions in ST03N</t>
  </si>
  <si>
    <t xml:space="preserve">Feed to the R-16 custom track. Expect meaningful volume.</t>
  </si>
  <si>
    <t xml:space="preserve">High count + no Fiori successor</t>
  </si>
  <si>
    <t xml:space="preserve">Prioritise. Where the GUI-for-HTML or gap decision matters most.</t>
  </si>
  <si>
    <t xml:space="preserve">Open Questions and Assumptions</t>
  </si>
  <si>
    <t xml:space="preserve">Ordered by impact. Q1 through Q4 are scope forks, not clarifications - the answers change what the deliverable is, not just its contents.</t>
  </si>
  <si>
    <t xml:space="preserve">Question</t>
  </si>
  <si>
    <t xml:space="preserve">Why it matters</t>
  </si>
  <si>
    <t xml:space="preserve">Answer</t>
  </si>
  <si>
    <t xml:space="preserve">Q1</t>
  </si>
  <si>
    <t xml:space="preserve">What is the actual downstream use of this data? A reporting layer, a legacy application retirement, an archive or decommissioning requirement, or genuine day-to-day operational work?</t>
  </si>
  <si>
    <t xml:space="preserve">The phrasing - all the tables, month-end snapshots, open or closed throughout time, change history - reads like a data mart or a legacy reporting replacement, not a user-task requirement. If that is what it is, the Fiori framing is wrong end to end and the honest deliverable is a data architecture, not an app list. This question is worth asking before any further work.</t>
  </si>
  <si>
    <t xml:space="preserve">Josh / stakeholder</t>
  </si>
  <si>
    <t xml:space="preserve">Q2</t>
  </si>
  <si>
    <t xml:space="preserve">ASNs: does he mean supplier ASNs, or genuinely outbound deliveries?</t>
  </si>
  <si>
    <t xml:space="preserve">He said 'SAP might call these outbound deliveries', but a supplier ASN is an INBOUND delivery in SAP. He also lists inbound deliveries separately in R-13, which suggests he may not realise they are the same object family. Different answers put different document types, transactions and roles in scope.</t>
  </si>
  <si>
    <t xml:space="preserve">Stakeholder</t>
  </si>
  <si>
    <t xml:space="preserve">Q3</t>
  </si>
  <si>
    <t xml:space="preserve">Order confirmations: supplier acknowledgements against POs, or production order confirmations?</t>
  </si>
  <si>
    <t xml:space="preserve">Reading it as supplier confirmations given it sits between orders and ASNs in his sequence. If production is meant, a whole PP scope enters that is not otherwise represented anywhere on the list.</t>
  </si>
  <si>
    <t xml:space="preserve">Q4</t>
  </si>
  <si>
    <t xml:space="preserve">WM, EWM, or neither?</t>
  </si>
  <si>
    <t xml:space="preserve">Gates every warehouse row - LS26, LX02, LX03, the LT* picking transactions - and decides whether R-13 is a WM assessment or an entirely separate EWM one. Roughly a dozen rows hang on this.</t>
  </si>
  <si>
    <t xml:space="preserve">Josh</t>
  </si>
  <si>
    <t xml:space="preserve">Q5</t>
  </si>
  <si>
    <t xml:space="preserve">'PIR' is used for two different objects on his list - purchasing info records in R-03, planned independent requirements in R-07. Confirm both are genuinely in scope.</t>
  </si>
  <si>
    <t xml:space="preserve">Easy to lose one of them in translation. They share nothing.</t>
  </si>
  <si>
    <t xml:space="preserve">Q6</t>
  </si>
  <si>
    <t xml:space="preserve">Is this population maintenance/MRO-driven - parts issued against maintenance or work orders?</t>
  </si>
  <si>
    <t xml:space="preserve">Reservations plus storeroom inquiries plus surplus and excess material tables reads like MRO. If so, account assignment behaviour and maintenance business roles belong in the mapping, and the custom surplus and excess tables in R-16 start to make a lot more sense as a connected story.</t>
  </si>
  <si>
    <t xml:space="preserve">Q7</t>
  </si>
  <si>
    <t xml:space="preserve">Embedded TM or legacy LE-TRA?</t>
  </si>
  <si>
    <t xml:space="preserve">Embedded TM is already Fiori-native and should be assessed by business role, not tcode. LE-TRA is a different solution with a different answer. R-14 cannot be assessed until this is settled.</t>
  </si>
  <si>
    <t xml:space="preserve">Josh / BASIS</t>
  </si>
  <si>
    <t xml:space="preserve">Q8</t>
  </si>
  <si>
    <t xml:space="preserve">Is a GUI-for-HTML tile an acceptable outcome, or does the ask mean native Fiori specifically?</t>
  </si>
  <si>
    <t xml:space="preserve">Materially changes the pass rate. Settle it before presenting results, not after.</t>
  </si>
  <si>
    <t xml:space="preserve">Q9</t>
  </si>
  <si>
    <t xml:space="preserve">Is the ST03N extract from ECC, or from an S/4 system already on 2022?</t>
  </si>
  <si>
    <t xml:space="preserve">From ECC, Run 2 tells you what must land somewhere in S/4. From S/4, it tells you what people still do in GUI instead of Fiori. Same file, different question, different deliverable.</t>
  </si>
  <si>
    <t xml:space="preserve">BASIS</t>
  </si>
  <si>
    <t xml:space="preserve">Q10</t>
  </si>
  <si>
    <t xml:space="preserve">What period does the ST03N extract cover, and is it representative?</t>
  </si>
  <si>
    <t xml:space="preserve">One month misses month-end, quarter-end and seasonal work. Physical inventory in particular may be invisible in a normal month, and R-15 explicitly asks for counts.</t>
  </si>
  <si>
    <t xml:space="preserve">Q11</t>
  </si>
  <si>
    <t xml:space="preserve">How far back does change document history actually go, and what is the archiving policy?</t>
  </si>
  <si>
    <t xml:space="preserve">R-01, R-06, R-08 and R-09 all ask for change history. If change documents are archived at 18 months, 'what was it two years ago' has no answer from the system at all - which is a finding worth surfacing early rather than late.</t>
  </si>
  <si>
    <t xml:space="preserve">Q12</t>
  </si>
  <si>
    <t xml:space="preserve">Display-only or full maintain, per requirement area?</t>
  </si>
  <si>
    <t xml:space="preserve">Drives whether create and change transactions belong on the list, and shapes the role design that follows.</t>
  </si>
  <si>
    <t xml:space="preserve">Q13</t>
  </si>
  <si>
    <t xml:space="preserve">Which plants, storage locations, and how many distinct user populations?</t>
  </si>
  <si>
    <t xml:space="preserve">One storeroom persona and five differentiated ones produce very different role and app counts from the same list.</t>
  </si>
  <si>
    <t xml:space="preserve">Q14</t>
  </si>
  <si>
    <t xml:space="preserve">Can BASIS also extract the Z-transaction usage and the custom table names for R-16?</t>
  </si>
  <si>
    <t xml:space="preserve">The custom track needs real object names to be actionable. ST03N gives the transactions; the repository gives the tables.</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</si>
</sst>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3"/>
      <color rgb="FF1F3864"/>
      <name val="Arial"/>
      <family val="0"/>
      <charset val="1"/>
    </font>
    <font>
      <i val="true"/>
      <sz val="9"/>
      <color rgb="FF595959"/>
      <name val="Arial"/>
      <family val="0"/>
      <charset val="1"/>
    </font>
    <font>
      <b val="true"/>
      <sz val="11"/>
      <color rgb="FF1F3864"/>
      <name val="Arial"/>
      <family val="0"/>
      <charset val="1"/>
    </font>
    <font>
      <b val="true"/>
      <sz val="10"/>
      <name val="Arial"/>
      <family val="0"/>
      <charset val="1"/>
    </font>
    <font>
      <sz val="10"/>
      <name val="Arial"/>
      <family val="0"/>
      <charset val="1"/>
    </font>
    <font>
      <b val="true"/>
      <sz val="10"/>
      <color rgb="FFFFFFFF"/>
      <name val="Arial"/>
      <family val="0"/>
      <charset val="1"/>
    </font>
    <font>
      <b val="true"/>
      <sz val="10"/>
      <color rgb="FF9C0006"/>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FFF2CC"/>
        <bgColor rgb="FFFCE4E4"/>
      </patternFill>
    </fill>
    <fill>
      <patternFill patternType="solid">
        <fgColor rgb="FFEDEDED"/>
        <bgColor rgb="FFE2EFDA"/>
      </patternFill>
    </fill>
    <fill>
      <patternFill patternType="solid">
        <fgColor rgb="FFFCE4E4"/>
        <bgColor rgb="FFEDEDED"/>
      </patternFill>
    </fill>
    <fill>
      <patternFill patternType="solid">
        <fgColor rgb="FFDEEBF7"/>
        <bgColor rgb="FFEDEDED"/>
      </patternFill>
    </fill>
    <fill>
      <patternFill patternType="solid">
        <fgColor rgb="FFE2EFDA"/>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7" fillId="7" borderId="1" xfId="0" applyFont="true" applyBorder="true" applyAlignment="true" applyProtection="false">
      <alignment horizontal="center" vertical="center" textRotation="0" wrapText="fals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DEDED"/>
          <bgColor rgb="FF000000"/>
        </patternFill>
      </fill>
    </dxf>
    <dxf>
      <fill>
        <patternFill patternType="solid">
          <fgColor rgb="FFFCE4E4"/>
          <bgColor rgb="FF000000"/>
        </patternFill>
      </fill>
    </dxf>
    <dxf>
      <fill>
        <patternFill patternType="solid">
          <fgColor rgb="FFFFF2CC"/>
          <bgColor rgb="FF000000"/>
        </patternFill>
      </fill>
    </dxf>
    <dxf>
      <fill>
        <patternFill patternType="solid">
          <fgColor rgb="FFDEEBF7"/>
          <bgColor rgb="FF000000"/>
        </patternFill>
      </fill>
    </dxf>
    <dxf>
      <fill>
        <patternFill patternType="solid">
          <fgColor rgb="FFE2EFDA"/>
          <bgColor rgb="FF000000"/>
        </patternFill>
      </fill>
    </dxf>
    <dxf>
      <fill>
        <patternFill patternType="solid">
          <fgColor rgb="FF9C0006"/>
          <bgColor rgb="FF0000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2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DEDED"/>
      <rgbColor rgb="FFE2EFDA"/>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08"/>
  </cols>
  <sheetData>
    <row r="1" customFormat="false" ht="16.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39" hidden="false" customHeight="true" outlineLevel="0" collapsed="false">
      <c r="A5" s="4"/>
      <c r="B5" s="5" t="s">
        <v>3</v>
      </c>
    </row>
    <row r="6" customFormat="false" ht="39" hidden="false" customHeight="true" outlineLevel="0" collapsed="false">
      <c r="A6" s="4"/>
      <c r="B6" s="5" t="s">
        <v>4</v>
      </c>
    </row>
    <row r="7" customFormat="false" ht="39" hidden="false" customHeight="true" outlineLevel="0" collapsed="false">
      <c r="A7" s="4"/>
      <c r="B7" s="5" t="s">
        <v>5</v>
      </c>
    </row>
    <row r="8" customFormat="false" ht="15" hidden="false" customHeight="true" outlineLevel="0" collapsed="false">
      <c r="A8" s="4"/>
      <c r="B8" s="5"/>
    </row>
    <row r="9" customFormat="false" ht="15" hidden="false" customHeight="false" outlineLevel="0" collapsed="false">
      <c r="A9" s="3" t="s">
        <v>6</v>
      </c>
    </row>
    <row r="10" customFormat="false" ht="15" hidden="false" customHeight="true" outlineLevel="0" collapsed="false">
      <c r="A10" s="4" t="s">
        <v>7</v>
      </c>
      <c r="B10" s="5" t="s">
        <v>8</v>
      </c>
    </row>
    <row r="11" customFormat="false" ht="39" hidden="false" customHeight="true" outlineLevel="0" collapsed="false">
      <c r="A11" s="4" t="s">
        <v>9</v>
      </c>
      <c r="B11" s="5" t="s">
        <v>10</v>
      </c>
    </row>
    <row r="12" customFormat="false" ht="25.5" hidden="false" customHeight="true" outlineLevel="0" collapsed="false">
      <c r="A12" s="4" t="s">
        <v>11</v>
      </c>
      <c r="B12" s="5" t="s">
        <v>12</v>
      </c>
    </row>
    <row r="13" customFormat="false" ht="25.5" hidden="false" customHeight="true" outlineLevel="0" collapsed="false">
      <c r="A13" s="4" t="s">
        <v>13</v>
      </c>
      <c r="B13" s="5" t="s">
        <v>14</v>
      </c>
    </row>
    <row r="14" customFormat="false" ht="15" hidden="false" customHeight="true" outlineLevel="0" collapsed="false">
      <c r="A14" s="4" t="s">
        <v>15</v>
      </c>
      <c r="B14" s="5" t="s">
        <v>16</v>
      </c>
    </row>
    <row r="15" customFormat="false" ht="15" hidden="false" customHeight="true" outlineLevel="0" collapsed="false">
      <c r="A15" s="4"/>
      <c r="B15" s="5"/>
    </row>
    <row r="16" customFormat="false" ht="15" hidden="false" customHeight="false" outlineLevel="0" collapsed="false">
      <c r="A16" s="3" t="s">
        <v>17</v>
      </c>
    </row>
    <row r="17" customFormat="false" ht="25.5" hidden="false" customHeight="true" outlineLevel="0" collapsed="false">
      <c r="A17" s="4" t="s">
        <v>18</v>
      </c>
      <c r="B17" s="5" t="s">
        <v>19</v>
      </c>
    </row>
    <row r="18" customFormat="false" ht="39" hidden="false" customHeight="true" outlineLevel="0" collapsed="false">
      <c r="A18" s="4" t="s">
        <v>20</v>
      </c>
      <c r="B18" s="5" t="s">
        <v>21</v>
      </c>
    </row>
    <row r="19" customFormat="false" ht="25.5" hidden="false" customHeight="true" outlineLevel="0" collapsed="false">
      <c r="A19" s="4" t="s">
        <v>22</v>
      </c>
      <c r="B19" s="5" t="s">
        <v>23</v>
      </c>
    </row>
    <row r="20" customFormat="false" ht="25.5" hidden="false" customHeight="true" outlineLevel="0" collapsed="false">
      <c r="A20" s="4" t="s">
        <v>24</v>
      </c>
      <c r="B20" s="5" t="s">
        <v>25</v>
      </c>
    </row>
    <row r="21" customFormat="false" ht="15" hidden="false" customHeight="true" outlineLevel="0" collapsed="false">
      <c r="A21" s="4"/>
      <c r="B21" s="5"/>
    </row>
    <row r="22" customFormat="false" ht="15" hidden="false" customHeight="false" outlineLevel="0" collapsed="false">
      <c r="A22" s="3" t="s">
        <v>26</v>
      </c>
    </row>
    <row r="23" customFormat="false" ht="25.5" hidden="false" customHeight="true" outlineLevel="0" collapsed="false">
      <c r="A23" s="4" t="s">
        <v>27</v>
      </c>
      <c r="B23" s="5" t="s">
        <v>28</v>
      </c>
    </row>
    <row r="24" customFormat="false" ht="25.5" hidden="false" customHeight="true" outlineLevel="0" collapsed="false">
      <c r="A24" s="4" t="s">
        <v>29</v>
      </c>
      <c r="B24" s="5" t="s">
        <v>30</v>
      </c>
    </row>
    <row r="25" customFormat="false" ht="25.5" hidden="false" customHeight="true" outlineLevel="0" collapsed="false">
      <c r="A25" s="4" t="s">
        <v>31</v>
      </c>
      <c r="B25" s="5" t="s">
        <v>32</v>
      </c>
    </row>
    <row r="26" customFormat="false" ht="15" hidden="false" customHeight="true" outlineLevel="0" collapsed="false">
      <c r="A26" s="4" t="s">
        <v>33</v>
      </c>
      <c r="B26" s="5" t="s">
        <v>34</v>
      </c>
    </row>
    <row r="27" customFormat="false" ht="15" hidden="false" customHeight="true" outlineLevel="0" collapsed="false">
      <c r="A27" s="4" t="s">
        <v>35</v>
      </c>
      <c r="B27" s="5" t="s">
        <v>36</v>
      </c>
    </row>
    <row r="28" customFormat="false" ht="15" hidden="false" customHeight="true" outlineLevel="0" collapsed="false">
      <c r="A28" s="4" t="s">
        <v>37</v>
      </c>
      <c r="B28" s="5" t="s">
        <v>38</v>
      </c>
    </row>
    <row r="29" customFormat="false" ht="15" hidden="false" customHeight="true" outlineLevel="0" collapsed="false">
      <c r="A29" s="4" t="s">
        <v>39</v>
      </c>
      <c r="B29" s="5" t="s">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6"/>
    <col collapsed="false" customWidth="true" hidden="false" outlineLevel="0" max="3" min="3" style="0" width="42"/>
    <col collapsed="false" customWidth="true" hidden="false" outlineLevel="0" max="4" min="4" style="0" width="8"/>
    <col collapsed="false" customWidth="true" hidden="false" outlineLevel="0" max="5" min="5" style="0" width="52"/>
    <col collapsed="false" customWidth="true" hidden="false" outlineLevel="0" max="6" min="6" style="0" width="14"/>
    <col collapsed="false" customWidth="true" hidden="false" outlineLevel="0" max="7" min="7" style="0" width="12"/>
  </cols>
  <sheetData>
    <row r="1" customFormat="false" ht="16.15" hidden="false" customHeight="false" outlineLevel="0" collapsed="false">
      <c r="A1" s="1" t="s">
        <v>41</v>
      </c>
    </row>
    <row r="2" customFormat="false" ht="27.75" hidden="false" customHeight="true" outlineLevel="0" collapsed="false">
      <c r="A2" s="6" t="s">
        <v>42</v>
      </c>
      <c r="B2" s="6"/>
      <c r="C2" s="6"/>
      <c r="D2" s="6"/>
      <c r="E2" s="6"/>
      <c r="F2" s="6"/>
      <c r="G2" s="6"/>
    </row>
    <row r="4" customFormat="false" ht="31.5" hidden="false" customHeight="true" outlineLevel="0" collapsed="false">
      <c r="A4" s="7" t="s">
        <v>43</v>
      </c>
      <c r="B4" s="7" t="s">
        <v>44</v>
      </c>
      <c r="C4" s="7" t="s">
        <v>45</v>
      </c>
      <c r="D4" s="7" t="s">
        <v>46</v>
      </c>
      <c r="E4" s="7" t="s">
        <v>47</v>
      </c>
      <c r="F4" s="7" t="s">
        <v>48</v>
      </c>
      <c r="G4" s="7" t="s">
        <v>49</v>
      </c>
    </row>
    <row r="5" customFormat="false" ht="61.5" hidden="false" customHeight="true" outlineLevel="0" collapsed="false">
      <c r="A5" s="8" t="s">
        <v>50</v>
      </c>
      <c r="B5" s="8" t="s">
        <v>51</v>
      </c>
      <c r="C5" s="8" t="s">
        <v>52</v>
      </c>
      <c r="D5" s="9" t="s">
        <v>53</v>
      </c>
      <c r="E5" s="8" t="s">
        <v>54</v>
      </c>
      <c r="F5" s="8" t="s">
        <v>55</v>
      </c>
      <c r="G5" s="10"/>
    </row>
    <row r="6" customFormat="false" ht="61.5" hidden="false" customHeight="true" outlineLevel="0" collapsed="false">
      <c r="A6" s="8" t="s">
        <v>56</v>
      </c>
      <c r="B6" s="8" t="s">
        <v>57</v>
      </c>
      <c r="C6" s="8" t="s">
        <v>58</v>
      </c>
      <c r="D6" s="11" t="s">
        <v>59</v>
      </c>
      <c r="E6" s="8" t="s">
        <v>60</v>
      </c>
      <c r="F6" s="8" t="s">
        <v>61</v>
      </c>
      <c r="G6" s="10"/>
    </row>
    <row r="7" customFormat="false" ht="61.5" hidden="false" customHeight="true" outlineLevel="0" collapsed="false">
      <c r="A7" s="8" t="s">
        <v>62</v>
      </c>
      <c r="B7" s="8" t="s">
        <v>63</v>
      </c>
      <c r="C7" s="8" t="s">
        <v>64</v>
      </c>
      <c r="D7" s="9" t="s">
        <v>53</v>
      </c>
      <c r="E7" s="8" t="s">
        <v>65</v>
      </c>
      <c r="F7" s="8" t="s">
        <v>66</v>
      </c>
      <c r="G7" s="10"/>
    </row>
    <row r="8" customFormat="false" ht="61.5" hidden="false" customHeight="true" outlineLevel="0" collapsed="false">
      <c r="A8" s="8" t="s">
        <v>67</v>
      </c>
      <c r="B8" s="8" t="s">
        <v>68</v>
      </c>
      <c r="C8" s="8" t="s">
        <v>69</v>
      </c>
      <c r="D8" s="9" t="s">
        <v>53</v>
      </c>
      <c r="E8" s="8" t="s">
        <v>70</v>
      </c>
      <c r="F8" s="8" t="s">
        <v>71</v>
      </c>
      <c r="G8" s="10"/>
    </row>
    <row r="9" customFormat="false" ht="61.5" hidden="false" customHeight="true" outlineLevel="0" collapsed="false">
      <c r="A9" s="8" t="s">
        <v>72</v>
      </c>
      <c r="B9" s="8" t="s">
        <v>73</v>
      </c>
      <c r="C9" s="8" t="s">
        <v>74</v>
      </c>
      <c r="D9" s="9" t="s">
        <v>53</v>
      </c>
      <c r="E9" s="8" t="s">
        <v>75</v>
      </c>
      <c r="F9" s="8" t="s">
        <v>76</v>
      </c>
      <c r="G9" s="10"/>
    </row>
    <row r="10" customFormat="false" ht="61.5" hidden="false" customHeight="true" outlineLevel="0" collapsed="false">
      <c r="A10" s="8" t="s">
        <v>77</v>
      </c>
      <c r="B10" s="8" t="s">
        <v>78</v>
      </c>
      <c r="C10" s="8" t="s">
        <v>79</v>
      </c>
      <c r="D10" s="9" t="s">
        <v>53</v>
      </c>
      <c r="E10" s="8" t="s">
        <v>80</v>
      </c>
      <c r="F10" s="8" t="s">
        <v>66</v>
      </c>
      <c r="G10" s="10"/>
    </row>
    <row r="11" customFormat="false" ht="61.5" hidden="false" customHeight="true" outlineLevel="0" collapsed="false">
      <c r="A11" s="8" t="s">
        <v>81</v>
      </c>
      <c r="B11" s="8" t="s">
        <v>82</v>
      </c>
      <c r="C11" s="8" t="s">
        <v>83</v>
      </c>
      <c r="D11" s="9" t="s">
        <v>53</v>
      </c>
      <c r="E11" s="8" t="s">
        <v>84</v>
      </c>
      <c r="F11" s="8" t="s">
        <v>66</v>
      </c>
      <c r="G11" s="10"/>
    </row>
    <row r="12" customFormat="false" ht="61.5" hidden="false" customHeight="true" outlineLevel="0" collapsed="false">
      <c r="A12" s="8" t="s">
        <v>85</v>
      </c>
      <c r="B12" s="8" t="s">
        <v>86</v>
      </c>
      <c r="C12" s="8" t="s">
        <v>87</v>
      </c>
      <c r="D12" s="9" t="s">
        <v>53</v>
      </c>
      <c r="E12" s="8" t="s">
        <v>88</v>
      </c>
      <c r="F12" s="8" t="s">
        <v>66</v>
      </c>
      <c r="G12" s="10"/>
    </row>
    <row r="13" customFormat="false" ht="61.5" hidden="false" customHeight="true" outlineLevel="0" collapsed="false">
      <c r="A13" s="8" t="s">
        <v>89</v>
      </c>
      <c r="B13" s="8" t="s">
        <v>90</v>
      </c>
      <c r="C13" s="8" t="s">
        <v>91</v>
      </c>
      <c r="D13" s="9" t="s">
        <v>53</v>
      </c>
      <c r="E13" s="8" t="s">
        <v>92</v>
      </c>
      <c r="F13" s="8" t="s">
        <v>76</v>
      </c>
      <c r="G13" s="10"/>
    </row>
    <row r="14" customFormat="false" ht="61.5" hidden="false" customHeight="true" outlineLevel="0" collapsed="false">
      <c r="A14" s="8" t="s">
        <v>93</v>
      </c>
      <c r="B14" s="8" t="s">
        <v>94</v>
      </c>
      <c r="C14" s="8" t="s">
        <v>95</v>
      </c>
      <c r="D14" s="9" t="s">
        <v>53</v>
      </c>
      <c r="E14" s="8" t="s">
        <v>96</v>
      </c>
      <c r="F14" s="8" t="s">
        <v>66</v>
      </c>
      <c r="G14" s="10"/>
    </row>
    <row r="15" customFormat="false" ht="61.5" hidden="false" customHeight="true" outlineLevel="0" collapsed="false">
      <c r="A15" s="8" t="s">
        <v>97</v>
      </c>
      <c r="B15" s="8" t="s">
        <v>98</v>
      </c>
      <c r="C15" s="8" t="s">
        <v>99</v>
      </c>
      <c r="D15" s="9" t="s">
        <v>53</v>
      </c>
      <c r="E15" s="8" t="s">
        <v>100</v>
      </c>
      <c r="F15" s="8" t="s">
        <v>66</v>
      </c>
      <c r="G15" s="10"/>
    </row>
    <row r="16" customFormat="false" ht="61.5" hidden="false" customHeight="true" outlineLevel="0" collapsed="false">
      <c r="A16" s="8" t="s">
        <v>101</v>
      </c>
      <c r="B16" s="8" t="s">
        <v>102</v>
      </c>
      <c r="C16" s="8" t="s">
        <v>103</v>
      </c>
      <c r="D16" s="9" t="s">
        <v>53</v>
      </c>
      <c r="E16" s="8" t="s">
        <v>104</v>
      </c>
      <c r="F16" s="8" t="s">
        <v>76</v>
      </c>
      <c r="G16" s="10"/>
    </row>
    <row r="17" customFormat="false" ht="61.5" hidden="false" customHeight="true" outlineLevel="0" collapsed="false">
      <c r="A17" s="8" t="s">
        <v>105</v>
      </c>
      <c r="B17" s="8" t="s">
        <v>106</v>
      </c>
      <c r="C17" s="8" t="s">
        <v>107</v>
      </c>
      <c r="D17" s="9" t="s">
        <v>53</v>
      </c>
      <c r="E17" s="8" t="s">
        <v>108</v>
      </c>
      <c r="F17" s="8" t="s">
        <v>76</v>
      </c>
      <c r="G17" s="10"/>
    </row>
    <row r="18" customFormat="false" ht="61.5" hidden="false" customHeight="true" outlineLevel="0" collapsed="false">
      <c r="A18" s="8" t="s">
        <v>109</v>
      </c>
      <c r="B18" s="8" t="s">
        <v>110</v>
      </c>
      <c r="C18" s="8" t="s">
        <v>111</v>
      </c>
      <c r="D18" s="9" t="s">
        <v>53</v>
      </c>
      <c r="E18" s="8" t="s">
        <v>112</v>
      </c>
      <c r="F18" s="8" t="s">
        <v>113</v>
      </c>
      <c r="G18" s="10"/>
    </row>
    <row r="19" customFormat="false" ht="61.5" hidden="false" customHeight="true" outlineLevel="0" collapsed="false">
      <c r="A19" s="8" t="s">
        <v>114</v>
      </c>
      <c r="B19" s="8" t="s">
        <v>115</v>
      </c>
      <c r="C19" s="8" t="s">
        <v>116</v>
      </c>
      <c r="D19" s="9" t="s">
        <v>53</v>
      </c>
      <c r="E19" s="8" t="s">
        <v>117</v>
      </c>
      <c r="F19" s="8" t="s">
        <v>71</v>
      </c>
      <c r="G19" s="10"/>
    </row>
    <row r="20" customFormat="false" ht="61.5" hidden="false" customHeight="true" outlineLevel="0" collapsed="false">
      <c r="A20" s="8" t="s">
        <v>118</v>
      </c>
      <c r="B20" s="8" t="s">
        <v>119</v>
      </c>
      <c r="C20" s="8" t="s">
        <v>120</v>
      </c>
      <c r="D20" s="12" t="s">
        <v>121</v>
      </c>
      <c r="E20" s="8" t="s">
        <v>122</v>
      </c>
      <c r="F20" s="8" t="s">
        <v>123</v>
      </c>
      <c r="G20" s="10"/>
    </row>
  </sheetData>
  <autoFilter ref="A4:G20"/>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9"/>
    <col collapsed="false" customWidth="true" hidden="false" outlineLevel="0" max="3" min="3" style="0" width="13"/>
    <col collapsed="false" customWidth="true" hidden="false" outlineLevel="0" max="4" min="4" style="0" width="42"/>
    <col collapsed="false" customWidth="true" hidden="false" outlineLevel="0" max="5" min="5" style="0" width="8"/>
    <col collapsed="false" customWidth="true" hidden="false" outlineLevel="0" max="6" min="6" style="0" width="9"/>
    <col collapsed="false" customWidth="true" hidden="false" outlineLevel="0" max="7" min="7" style="0" width="19"/>
    <col collapsed="false" customWidth="true" hidden="false" outlineLevel="0" max="8" min="8" style="0" width="66"/>
    <col collapsed="false" customWidth="true" hidden="false" outlineLevel="0" max="9" min="9" style="0" width="12"/>
    <col collapsed="false" customWidth="true" hidden="false" outlineLevel="0" max="10" min="10" style="0" width="10"/>
    <col collapsed="false" customWidth="true" hidden="false" outlineLevel="0" max="11" min="11" style="0" width="22"/>
    <col collapsed="false" customWidth="true" hidden="false" outlineLevel="0" max="12" min="12" style="0" width="14"/>
  </cols>
  <sheetData>
    <row r="1" customFormat="false" ht="16.15" hidden="false" customHeight="false" outlineLevel="0" collapsed="false">
      <c r="A1" s="1" t="s">
        <v>124</v>
      </c>
    </row>
    <row r="2" customFormat="false" ht="30" hidden="false" customHeight="true" outlineLevel="0" collapsed="false">
      <c r="A2" s="6" t="s">
        <v>125</v>
      </c>
      <c r="B2" s="6"/>
      <c r="C2" s="6"/>
      <c r="D2" s="6"/>
      <c r="E2" s="6"/>
      <c r="F2" s="6"/>
      <c r="G2" s="6"/>
      <c r="H2" s="6"/>
      <c r="I2" s="6"/>
      <c r="J2" s="6"/>
      <c r="K2" s="6"/>
      <c r="L2" s="6"/>
    </row>
    <row r="4" customFormat="false" ht="31.5" hidden="false" customHeight="true" outlineLevel="0" collapsed="false">
      <c r="A4" s="7" t="s">
        <v>43</v>
      </c>
      <c r="B4" s="7" t="s">
        <v>126</v>
      </c>
      <c r="C4" s="7" t="s">
        <v>127</v>
      </c>
      <c r="D4" s="7" t="s">
        <v>128</v>
      </c>
      <c r="E4" s="7" t="s">
        <v>46</v>
      </c>
      <c r="F4" s="7" t="s">
        <v>129</v>
      </c>
      <c r="G4" s="7" t="s">
        <v>130</v>
      </c>
      <c r="H4" s="7" t="s">
        <v>131</v>
      </c>
      <c r="I4" s="7" t="s">
        <v>132</v>
      </c>
      <c r="J4" s="7" t="s">
        <v>133</v>
      </c>
      <c r="K4" s="7" t="s">
        <v>134</v>
      </c>
      <c r="L4" s="7" t="s">
        <v>135</v>
      </c>
    </row>
    <row r="5" customFormat="false" ht="30" hidden="false" customHeight="true" outlineLevel="0" collapsed="false">
      <c r="A5" s="8" t="s">
        <v>50</v>
      </c>
      <c r="B5" s="8" t="s">
        <v>136</v>
      </c>
      <c r="C5" s="8" t="s">
        <v>137</v>
      </c>
      <c r="D5" s="8" t="s">
        <v>138</v>
      </c>
      <c r="E5" s="13" t="s">
        <v>139</v>
      </c>
      <c r="F5" s="8" t="s">
        <v>140</v>
      </c>
      <c r="G5" s="8" t="s">
        <v>141</v>
      </c>
      <c r="H5" s="8" t="s">
        <v>142</v>
      </c>
      <c r="I5" s="14"/>
      <c r="J5" s="14"/>
      <c r="K5" s="14"/>
      <c r="L5" s="14"/>
    </row>
    <row r="6" customFormat="false" ht="30" hidden="false" customHeight="true" outlineLevel="0" collapsed="false">
      <c r="A6" s="8" t="s">
        <v>50</v>
      </c>
      <c r="B6" s="8" t="s">
        <v>136</v>
      </c>
      <c r="C6" s="8" t="s">
        <v>143</v>
      </c>
      <c r="D6" s="8" t="s">
        <v>144</v>
      </c>
      <c r="E6" s="13" t="s">
        <v>139</v>
      </c>
      <c r="F6" s="8" t="s">
        <v>140</v>
      </c>
      <c r="G6" s="8" t="s">
        <v>141</v>
      </c>
      <c r="H6" s="8"/>
      <c r="I6" s="14"/>
      <c r="J6" s="14"/>
      <c r="K6" s="14"/>
      <c r="L6" s="14"/>
    </row>
    <row r="7" customFormat="false" ht="30" hidden="false" customHeight="true" outlineLevel="0" collapsed="false">
      <c r="A7" s="8" t="s">
        <v>50</v>
      </c>
      <c r="B7" s="8" t="s">
        <v>136</v>
      </c>
      <c r="C7" s="8" t="s">
        <v>145</v>
      </c>
      <c r="D7" s="8" t="s">
        <v>146</v>
      </c>
      <c r="E7" s="13" t="s">
        <v>139</v>
      </c>
      <c r="F7" s="8" t="s">
        <v>147</v>
      </c>
      <c r="G7" s="8" t="s">
        <v>141</v>
      </c>
      <c r="H7" s="8" t="s">
        <v>148</v>
      </c>
      <c r="I7" s="14"/>
      <c r="J7" s="14"/>
      <c r="K7" s="14"/>
      <c r="L7" s="14"/>
    </row>
    <row r="8" customFormat="false" ht="30" hidden="false" customHeight="true" outlineLevel="0" collapsed="false">
      <c r="A8" s="8" t="s">
        <v>50</v>
      </c>
      <c r="B8" s="8" t="s">
        <v>136</v>
      </c>
      <c r="C8" s="8" t="s">
        <v>149</v>
      </c>
      <c r="D8" s="8" t="s">
        <v>150</v>
      </c>
      <c r="E8" s="9" t="s">
        <v>53</v>
      </c>
      <c r="F8" s="8" t="s">
        <v>140</v>
      </c>
      <c r="G8" s="8" t="s">
        <v>141</v>
      </c>
      <c r="H8" s="8" t="s">
        <v>151</v>
      </c>
      <c r="I8" s="14"/>
      <c r="J8" s="14"/>
      <c r="K8" s="14"/>
      <c r="L8" s="14"/>
    </row>
    <row r="9" customFormat="false" ht="30" hidden="false" customHeight="true" outlineLevel="0" collapsed="false">
      <c r="A9" s="8" t="s">
        <v>50</v>
      </c>
      <c r="B9" s="8" t="s">
        <v>136</v>
      </c>
      <c r="C9" s="8" t="s">
        <v>152</v>
      </c>
      <c r="D9" s="8" t="s">
        <v>153</v>
      </c>
      <c r="E9" s="9" t="s">
        <v>53</v>
      </c>
      <c r="F9" s="8" t="s">
        <v>140</v>
      </c>
      <c r="G9" s="8" t="s">
        <v>154</v>
      </c>
      <c r="H9" s="8" t="s">
        <v>155</v>
      </c>
      <c r="I9" s="14"/>
      <c r="J9" s="14"/>
      <c r="K9" s="14"/>
      <c r="L9" s="14"/>
    </row>
    <row r="10" customFormat="false" ht="30" hidden="false" customHeight="true" outlineLevel="0" collapsed="false">
      <c r="A10" s="8" t="s">
        <v>50</v>
      </c>
      <c r="B10" s="8" t="s">
        <v>136</v>
      </c>
      <c r="C10" s="8" t="s">
        <v>156</v>
      </c>
      <c r="D10" s="8" t="s">
        <v>157</v>
      </c>
      <c r="E10" s="13" t="s">
        <v>139</v>
      </c>
      <c r="F10" s="8" t="s">
        <v>147</v>
      </c>
      <c r="G10" s="8" t="s">
        <v>141</v>
      </c>
      <c r="H10" s="8"/>
      <c r="I10" s="14"/>
      <c r="J10" s="14"/>
      <c r="K10" s="14"/>
      <c r="L10" s="14"/>
    </row>
    <row r="11" customFormat="false" ht="30" hidden="false" customHeight="true" outlineLevel="0" collapsed="false">
      <c r="A11" s="8" t="s">
        <v>50</v>
      </c>
      <c r="B11" s="8" t="s">
        <v>136</v>
      </c>
      <c r="C11" s="8" t="s">
        <v>158</v>
      </c>
      <c r="D11" s="8" t="s">
        <v>159</v>
      </c>
      <c r="E11" s="13" t="s">
        <v>139</v>
      </c>
      <c r="F11" s="8" t="s">
        <v>147</v>
      </c>
      <c r="G11" s="8" t="s">
        <v>141</v>
      </c>
      <c r="H11" s="8" t="s">
        <v>160</v>
      </c>
      <c r="I11" s="14"/>
      <c r="J11" s="14"/>
      <c r="K11" s="14"/>
      <c r="L11" s="14"/>
    </row>
    <row r="12" customFormat="false" ht="30" hidden="false" customHeight="true" outlineLevel="0" collapsed="false">
      <c r="A12" s="8" t="s">
        <v>50</v>
      </c>
      <c r="B12" s="8" t="s">
        <v>136</v>
      </c>
      <c r="C12" s="8" t="s">
        <v>161</v>
      </c>
      <c r="D12" s="8" t="s">
        <v>162</v>
      </c>
      <c r="E12" s="13" t="s">
        <v>139</v>
      </c>
      <c r="F12" s="8" t="s">
        <v>163</v>
      </c>
      <c r="G12" s="8" t="s">
        <v>141</v>
      </c>
      <c r="H12" s="8"/>
      <c r="I12" s="14"/>
      <c r="J12" s="14"/>
      <c r="K12" s="14"/>
      <c r="L12" s="14"/>
    </row>
    <row r="13" customFormat="false" ht="30" hidden="false" customHeight="true" outlineLevel="0" collapsed="false">
      <c r="A13" s="8" t="s">
        <v>50</v>
      </c>
      <c r="B13" s="8" t="s">
        <v>136</v>
      </c>
      <c r="C13" s="8" t="s">
        <v>164</v>
      </c>
      <c r="D13" s="8" t="s">
        <v>165</v>
      </c>
      <c r="E13" s="13" t="s">
        <v>139</v>
      </c>
      <c r="F13" s="8" t="s">
        <v>163</v>
      </c>
      <c r="G13" s="8" t="s">
        <v>141</v>
      </c>
      <c r="H13" s="8"/>
      <c r="I13" s="14"/>
      <c r="J13" s="14"/>
      <c r="K13" s="14"/>
      <c r="L13" s="14"/>
    </row>
    <row r="14" customFormat="false" ht="30" hidden="false" customHeight="true" outlineLevel="0" collapsed="false">
      <c r="A14" s="8" t="s">
        <v>50</v>
      </c>
      <c r="B14" s="8" t="s">
        <v>136</v>
      </c>
      <c r="C14" s="8" t="s">
        <v>166</v>
      </c>
      <c r="D14" s="8" t="s">
        <v>167</v>
      </c>
      <c r="E14" s="13" t="s">
        <v>139</v>
      </c>
      <c r="F14" s="8" t="s">
        <v>163</v>
      </c>
      <c r="G14" s="8" t="s">
        <v>141</v>
      </c>
      <c r="H14" s="8"/>
      <c r="I14" s="14"/>
      <c r="J14" s="14"/>
      <c r="K14" s="14"/>
      <c r="L14" s="14"/>
    </row>
    <row r="15" customFormat="false" ht="30" hidden="false" customHeight="true" outlineLevel="0" collapsed="false">
      <c r="A15" s="8" t="s">
        <v>50</v>
      </c>
      <c r="B15" s="8" t="s">
        <v>136</v>
      </c>
      <c r="C15" s="8" t="s">
        <v>168</v>
      </c>
      <c r="D15" s="8" t="s">
        <v>169</v>
      </c>
      <c r="E15" s="13" t="s">
        <v>139</v>
      </c>
      <c r="F15" s="8" t="s">
        <v>163</v>
      </c>
      <c r="G15" s="8" t="s">
        <v>141</v>
      </c>
      <c r="H15" s="8"/>
      <c r="I15" s="14"/>
      <c r="J15" s="14"/>
      <c r="K15" s="14"/>
      <c r="L15" s="14"/>
    </row>
    <row r="16" customFormat="false" ht="30" hidden="false" customHeight="true" outlineLevel="0" collapsed="false">
      <c r="A16" s="8" t="s">
        <v>56</v>
      </c>
      <c r="B16" s="8" t="s">
        <v>170</v>
      </c>
      <c r="C16" s="8" t="s">
        <v>171</v>
      </c>
      <c r="D16" s="8" t="s">
        <v>172</v>
      </c>
      <c r="E16" s="11" t="s">
        <v>59</v>
      </c>
      <c r="F16" s="8" t="s">
        <v>140</v>
      </c>
      <c r="G16" s="8" t="s">
        <v>141</v>
      </c>
      <c r="H16" s="8" t="s">
        <v>173</v>
      </c>
      <c r="I16" s="14"/>
      <c r="J16" s="14"/>
      <c r="K16" s="14"/>
      <c r="L16" s="14"/>
    </row>
    <row r="17" customFormat="false" ht="30" hidden="false" customHeight="true" outlineLevel="0" collapsed="false">
      <c r="A17" s="8" t="s">
        <v>56</v>
      </c>
      <c r="B17" s="8" t="s">
        <v>170</v>
      </c>
      <c r="C17" s="8" t="s">
        <v>174</v>
      </c>
      <c r="D17" s="8" t="s">
        <v>175</v>
      </c>
      <c r="E17" s="11" t="s">
        <v>59</v>
      </c>
      <c r="F17" s="8" t="s">
        <v>140</v>
      </c>
      <c r="G17" s="8" t="s">
        <v>141</v>
      </c>
      <c r="H17" s="8" t="s">
        <v>176</v>
      </c>
      <c r="I17" s="14"/>
      <c r="J17" s="14"/>
      <c r="K17" s="14"/>
      <c r="L17" s="14"/>
    </row>
    <row r="18" customFormat="false" ht="30" hidden="false" customHeight="true" outlineLevel="0" collapsed="false">
      <c r="A18" s="8" t="s">
        <v>56</v>
      </c>
      <c r="B18" s="8" t="s">
        <v>170</v>
      </c>
      <c r="C18" s="8" t="s">
        <v>177</v>
      </c>
      <c r="D18" s="8" t="s">
        <v>178</v>
      </c>
      <c r="E18" s="11" t="s">
        <v>59</v>
      </c>
      <c r="F18" s="8" t="s">
        <v>163</v>
      </c>
      <c r="G18" s="8" t="s">
        <v>141</v>
      </c>
      <c r="H18" s="8" t="s">
        <v>176</v>
      </c>
      <c r="I18" s="14"/>
      <c r="J18" s="14"/>
      <c r="K18" s="14"/>
      <c r="L18" s="14"/>
    </row>
    <row r="19" customFormat="false" ht="30" hidden="false" customHeight="true" outlineLevel="0" collapsed="false">
      <c r="A19" s="8" t="s">
        <v>56</v>
      </c>
      <c r="B19" s="8" t="s">
        <v>170</v>
      </c>
      <c r="C19" s="8" t="s">
        <v>179</v>
      </c>
      <c r="D19" s="8" t="s">
        <v>180</v>
      </c>
      <c r="E19" s="11" t="s">
        <v>59</v>
      </c>
      <c r="F19" s="8" t="s">
        <v>163</v>
      </c>
      <c r="G19" s="8" t="s">
        <v>141</v>
      </c>
      <c r="H19" s="8" t="s">
        <v>181</v>
      </c>
      <c r="I19" s="14"/>
      <c r="J19" s="14"/>
      <c r="K19" s="14"/>
      <c r="L19" s="14"/>
    </row>
    <row r="20" customFormat="false" ht="30" hidden="false" customHeight="true" outlineLevel="0" collapsed="false">
      <c r="A20" s="8" t="s">
        <v>56</v>
      </c>
      <c r="B20" s="8" t="s">
        <v>170</v>
      </c>
      <c r="C20" s="8" t="s">
        <v>182</v>
      </c>
      <c r="D20" s="8" t="s">
        <v>183</v>
      </c>
      <c r="E20" s="11" t="s">
        <v>59</v>
      </c>
      <c r="F20" s="8" t="s">
        <v>163</v>
      </c>
      <c r="G20" s="8" t="s">
        <v>154</v>
      </c>
      <c r="H20" s="8" t="s">
        <v>184</v>
      </c>
      <c r="I20" s="14"/>
      <c r="J20" s="14"/>
      <c r="K20" s="14"/>
      <c r="L20" s="14"/>
    </row>
    <row r="21" customFormat="false" ht="30" hidden="false" customHeight="true" outlineLevel="0" collapsed="false">
      <c r="A21" s="8" t="s">
        <v>56</v>
      </c>
      <c r="B21" s="8" t="s">
        <v>170</v>
      </c>
      <c r="C21" s="8" t="s">
        <v>185</v>
      </c>
      <c r="D21" s="8" t="s">
        <v>186</v>
      </c>
      <c r="E21" s="15" t="s">
        <v>187</v>
      </c>
      <c r="F21" s="8" t="s">
        <v>147</v>
      </c>
      <c r="G21" s="8" t="s">
        <v>141</v>
      </c>
      <c r="H21" s="8" t="s">
        <v>188</v>
      </c>
      <c r="I21" s="14"/>
      <c r="J21" s="14"/>
      <c r="K21" s="14"/>
      <c r="L21" s="14"/>
    </row>
    <row r="22" customFormat="false" ht="30" hidden="false" customHeight="true" outlineLevel="0" collapsed="false">
      <c r="A22" s="8" t="s">
        <v>62</v>
      </c>
      <c r="B22" s="8" t="s">
        <v>189</v>
      </c>
      <c r="C22" s="8" t="s">
        <v>190</v>
      </c>
      <c r="D22" s="8" t="s">
        <v>191</v>
      </c>
      <c r="E22" s="13" t="s">
        <v>139</v>
      </c>
      <c r="F22" s="8" t="s">
        <v>140</v>
      </c>
      <c r="G22" s="8" t="s">
        <v>141</v>
      </c>
      <c r="H22" s="8"/>
      <c r="I22" s="14"/>
      <c r="J22" s="14"/>
      <c r="K22" s="14"/>
      <c r="L22" s="14"/>
    </row>
    <row r="23" customFormat="false" ht="30" hidden="false" customHeight="true" outlineLevel="0" collapsed="false">
      <c r="A23" s="8" t="s">
        <v>62</v>
      </c>
      <c r="B23" s="8" t="s">
        <v>189</v>
      </c>
      <c r="C23" s="8" t="s">
        <v>192</v>
      </c>
      <c r="D23" s="8" t="s">
        <v>193</v>
      </c>
      <c r="E23" s="13" t="s">
        <v>139</v>
      </c>
      <c r="F23" s="8" t="s">
        <v>147</v>
      </c>
      <c r="G23" s="8" t="s">
        <v>141</v>
      </c>
      <c r="H23" s="8"/>
      <c r="I23" s="14"/>
      <c r="J23" s="14"/>
      <c r="K23" s="14"/>
      <c r="L23" s="14"/>
    </row>
    <row r="24" customFormat="false" ht="30" hidden="false" customHeight="true" outlineLevel="0" collapsed="false">
      <c r="A24" s="8" t="s">
        <v>62</v>
      </c>
      <c r="B24" s="8" t="s">
        <v>189</v>
      </c>
      <c r="C24" s="8" t="s">
        <v>194</v>
      </c>
      <c r="D24" s="8" t="s">
        <v>195</v>
      </c>
      <c r="E24" s="9" t="s">
        <v>53</v>
      </c>
      <c r="F24" s="8" t="s">
        <v>147</v>
      </c>
      <c r="G24" s="8" t="s">
        <v>141</v>
      </c>
      <c r="H24" s="8"/>
      <c r="I24" s="14"/>
      <c r="J24" s="14"/>
      <c r="K24" s="14"/>
      <c r="L24" s="14"/>
    </row>
    <row r="25" customFormat="false" ht="30" hidden="false" customHeight="true" outlineLevel="0" collapsed="false">
      <c r="A25" s="8" t="s">
        <v>62</v>
      </c>
      <c r="B25" s="8" t="s">
        <v>189</v>
      </c>
      <c r="C25" s="8" t="s">
        <v>196</v>
      </c>
      <c r="D25" s="8" t="s">
        <v>197</v>
      </c>
      <c r="E25" s="13" t="s">
        <v>139</v>
      </c>
      <c r="F25" s="8" t="s">
        <v>163</v>
      </c>
      <c r="G25" s="8" t="s">
        <v>141</v>
      </c>
      <c r="H25" s="8"/>
      <c r="I25" s="14"/>
      <c r="J25" s="14"/>
      <c r="K25" s="14"/>
      <c r="L25" s="14"/>
    </row>
    <row r="26" customFormat="false" ht="30" hidden="false" customHeight="true" outlineLevel="0" collapsed="false">
      <c r="A26" s="8" t="s">
        <v>62</v>
      </c>
      <c r="B26" s="8" t="s">
        <v>198</v>
      </c>
      <c r="C26" s="8" t="s">
        <v>199</v>
      </c>
      <c r="D26" s="8" t="s">
        <v>200</v>
      </c>
      <c r="E26" s="13" t="s">
        <v>139</v>
      </c>
      <c r="F26" s="8" t="s">
        <v>140</v>
      </c>
      <c r="G26" s="8" t="s">
        <v>141</v>
      </c>
      <c r="H26" s="8" t="s">
        <v>201</v>
      </c>
      <c r="I26" s="14"/>
      <c r="J26" s="14"/>
      <c r="K26" s="14"/>
      <c r="L26" s="14"/>
    </row>
    <row r="27" customFormat="false" ht="30" hidden="false" customHeight="true" outlineLevel="0" collapsed="false">
      <c r="A27" s="8" t="s">
        <v>62</v>
      </c>
      <c r="B27" s="8" t="s">
        <v>198</v>
      </c>
      <c r="C27" s="8" t="s">
        <v>202</v>
      </c>
      <c r="D27" s="8" t="s">
        <v>203</v>
      </c>
      <c r="E27" s="13" t="s">
        <v>139</v>
      </c>
      <c r="F27" s="8" t="s">
        <v>147</v>
      </c>
      <c r="G27" s="8" t="s">
        <v>141</v>
      </c>
      <c r="H27" s="8"/>
      <c r="I27" s="14"/>
      <c r="J27" s="14"/>
      <c r="K27" s="14"/>
      <c r="L27" s="14"/>
    </row>
    <row r="28" customFormat="false" ht="30" hidden="false" customHeight="true" outlineLevel="0" collapsed="false">
      <c r="A28" s="8" t="s">
        <v>62</v>
      </c>
      <c r="B28" s="8" t="s">
        <v>198</v>
      </c>
      <c r="C28" s="8" t="s">
        <v>204</v>
      </c>
      <c r="D28" s="8" t="s">
        <v>205</v>
      </c>
      <c r="E28" s="13" t="s">
        <v>139</v>
      </c>
      <c r="F28" s="8" t="s">
        <v>147</v>
      </c>
      <c r="G28" s="8" t="s">
        <v>141</v>
      </c>
      <c r="H28" s="8"/>
      <c r="I28" s="14"/>
      <c r="J28" s="14"/>
      <c r="K28" s="14"/>
      <c r="L28" s="14"/>
    </row>
    <row r="29" customFormat="false" ht="30" hidden="false" customHeight="true" outlineLevel="0" collapsed="false">
      <c r="A29" s="8" t="s">
        <v>62</v>
      </c>
      <c r="B29" s="8" t="s">
        <v>198</v>
      </c>
      <c r="C29" s="8" t="s">
        <v>206</v>
      </c>
      <c r="D29" s="8" t="s">
        <v>207</v>
      </c>
      <c r="E29" s="9" t="s">
        <v>53</v>
      </c>
      <c r="F29" s="8" t="s">
        <v>140</v>
      </c>
      <c r="G29" s="8" t="s">
        <v>141</v>
      </c>
      <c r="H29" s="8" t="s">
        <v>208</v>
      </c>
      <c r="I29" s="14"/>
      <c r="J29" s="14"/>
      <c r="K29" s="14"/>
      <c r="L29" s="14"/>
    </row>
    <row r="30" customFormat="false" ht="30" hidden="false" customHeight="true" outlineLevel="0" collapsed="false">
      <c r="A30" s="8" t="s">
        <v>62</v>
      </c>
      <c r="B30" s="8" t="s">
        <v>198</v>
      </c>
      <c r="C30" s="8" t="s">
        <v>209</v>
      </c>
      <c r="D30" s="8" t="s">
        <v>210</v>
      </c>
      <c r="E30" s="9" t="s">
        <v>53</v>
      </c>
      <c r="F30" s="8" t="s">
        <v>147</v>
      </c>
      <c r="G30" s="8" t="s">
        <v>141</v>
      </c>
      <c r="H30" s="8"/>
      <c r="I30" s="14"/>
      <c r="J30" s="14"/>
      <c r="K30" s="14"/>
      <c r="L30" s="14"/>
    </row>
    <row r="31" customFormat="false" ht="30" hidden="false" customHeight="true" outlineLevel="0" collapsed="false">
      <c r="A31" s="8" t="s">
        <v>62</v>
      </c>
      <c r="B31" s="8" t="s">
        <v>198</v>
      </c>
      <c r="C31" s="8" t="s">
        <v>211</v>
      </c>
      <c r="D31" s="8" t="s">
        <v>212</v>
      </c>
      <c r="E31" s="15" t="s">
        <v>187</v>
      </c>
      <c r="F31" s="8" t="s">
        <v>140</v>
      </c>
      <c r="G31" s="8" t="s">
        <v>141</v>
      </c>
      <c r="H31" s="8" t="s">
        <v>213</v>
      </c>
      <c r="I31" s="14"/>
      <c r="J31" s="14"/>
      <c r="K31" s="14"/>
      <c r="L31" s="14"/>
    </row>
    <row r="32" customFormat="false" ht="30" hidden="false" customHeight="true" outlineLevel="0" collapsed="false">
      <c r="A32" s="8" t="s">
        <v>62</v>
      </c>
      <c r="B32" s="8" t="s">
        <v>214</v>
      </c>
      <c r="C32" s="8" t="s">
        <v>215</v>
      </c>
      <c r="D32" s="8" t="s">
        <v>216</v>
      </c>
      <c r="E32" s="13" t="s">
        <v>139</v>
      </c>
      <c r="F32" s="8" t="s">
        <v>140</v>
      </c>
      <c r="G32" s="8" t="s">
        <v>141</v>
      </c>
      <c r="H32" s="8"/>
      <c r="I32" s="14"/>
      <c r="J32" s="14"/>
      <c r="K32" s="14"/>
      <c r="L32" s="14"/>
    </row>
    <row r="33" customFormat="false" ht="30" hidden="false" customHeight="true" outlineLevel="0" collapsed="false">
      <c r="A33" s="8" t="s">
        <v>62</v>
      </c>
      <c r="B33" s="8" t="s">
        <v>214</v>
      </c>
      <c r="C33" s="8" t="s">
        <v>217</v>
      </c>
      <c r="D33" s="8" t="s">
        <v>218</v>
      </c>
      <c r="E33" s="13" t="s">
        <v>139</v>
      </c>
      <c r="F33" s="8" t="s">
        <v>147</v>
      </c>
      <c r="G33" s="8" t="s">
        <v>141</v>
      </c>
      <c r="H33" s="8"/>
      <c r="I33" s="14"/>
      <c r="J33" s="14"/>
      <c r="K33" s="14"/>
      <c r="L33" s="14"/>
    </row>
    <row r="34" customFormat="false" ht="30" hidden="false" customHeight="true" outlineLevel="0" collapsed="false">
      <c r="A34" s="8" t="s">
        <v>62</v>
      </c>
      <c r="B34" s="8" t="s">
        <v>214</v>
      </c>
      <c r="C34" s="8" t="s">
        <v>219</v>
      </c>
      <c r="D34" s="8" t="s">
        <v>220</v>
      </c>
      <c r="E34" s="13" t="s">
        <v>139</v>
      </c>
      <c r="F34" s="8" t="s">
        <v>147</v>
      </c>
      <c r="G34" s="8" t="s">
        <v>141</v>
      </c>
      <c r="H34" s="8"/>
      <c r="I34" s="14"/>
      <c r="J34" s="14"/>
      <c r="K34" s="14"/>
      <c r="L34" s="14"/>
    </row>
    <row r="35" customFormat="false" ht="30" hidden="false" customHeight="true" outlineLevel="0" collapsed="false">
      <c r="A35" s="8" t="s">
        <v>62</v>
      </c>
      <c r="B35" s="8" t="s">
        <v>214</v>
      </c>
      <c r="C35" s="8" t="s">
        <v>221</v>
      </c>
      <c r="D35" s="8" t="s">
        <v>222</v>
      </c>
      <c r="E35" s="9" t="s">
        <v>53</v>
      </c>
      <c r="F35" s="8" t="s">
        <v>147</v>
      </c>
      <c r="G35" s="8" t="s">
        <v>141</v>
      </c>
      <c r="H35" s="8"/>
      <c r="I35" s="14"/>
      <c r="J35" s="14"/>
      <c r="K35" s="14"/>
      <c r="L35" s="14"/>
    </row>
    <row r="36" customFormat="false" ht="30" hidden="false" customHeight="true" outlineLevel="0" collapsed="false">
      <c r="A36" s="8" t="s">
        <v>62</v>
      </c>
      <c r="B36" s="8" t="s">
        <v>214</v>
      </c>
      <c r="C36" s="8" t="s">
        <v>223</v>
      </c>
      <c r="D36" s="8" t="s">
        <v>224</v>
      </c>
      <c r="E36" s="9" t="s">
        <v>53</v>
      </c>
      <c r="F36" s="8" t="s">
        <v>147</v>
      </c>
      <c r="G36" s="8" t="s">
        <v>141</v>
      </c>
      <c r="H36" s="8"/>
      <c r="I36" s="14"/>
      <c r="J36" s="14"/>
      <c r="K36" s="14"/>
      <c r="L36" s="14"/>
    </row>
    <row r="37" customFormat="false" ht="30" hidden="false" customHeight="true" outlineLevel="0" collapsed="false">
      <c r="A37" s="8" t="s">
        <v>62</v>
      </c>
      <c r="B37" s="8" t="s">
        <v>214</v>
      </c>
      <c r="C37" s="8" t="s">
        <v>225</v>
      </c>
      <c r="D37" s="8" t="s">
        <v>226</v>
      </c>
      <c r="E37" s="9" t="s">
        <v>53</v>
      </c>
      <c r="F37" s="8" t="s">
        <v>163</v>
      </c>
      <c r="G37" s="8" t="s">
        <v>141</v>
      </c>
      <c r="H37" s="8"/>
      <c r="I37" s="14"/>
      <c r="J37" s="14"/>
      <c r="K37" s="14"/>
      <c r="L37" s="14"/>
    </row>
    <row r="38" customFormat="false" ht="30" hidden="false" customHeight="true" outlineLevel="0" collapsed="false">
      <c r="A38" s="8" t="s">
        <v>62</v>
      </c>
      <c r="B38" s="8" t="s">
        <v>227</v>
      </c>
      <c r="C38" s="8" t="s">
        <v>228</v>
      </c>
      <c r="D38" s="8" t="s">
        <v>229</v>
      </c>
      <c r="E38" s="13" t="s">
        <v>139</v>
      </c>
      <c r="F38" s="8" t="s">
        <v>147</v>
      </c>
      <c r="G38" s="8" t="s">
        <v>141</v>
      </c>
      <c r="H38" s="8" t="s">
        <v>230</v>
      </c>
      <c r="I38" s="14"/>
      <c r="J38" s="14"/>
      <c r="K38" s="14"/>
      <c r="L38" s="14"/>
    </row>
    <row r="39" customFormat="false" ht="30" hidden="false" customHeight="true" outlineLevel="0" collapsed="false">
      <c r="A39" s="8" t="s">
        <v>62</v>
      </c>
      <c r="B39" s="8" t="s">
        <v>231</v>
      </c>
      <c r="C39" s="8" t="s">
        <v>232</v>
      </c>
      <c r="D39" s="8" t="s">
        <v>233</v>
      </c>
      <c r="E39" s="9" t="s">
        <v>53</v>
      </c>
      <c r="F39" s="8" t="s">
        <v>140</v>
      </c>
      <c r="G39" s="8" t="s">
        <v>141</v>
      </c>
      <c r="H39" s="8" t="s">
        <v>234</v>
      </c>
      <c r="I39" s="14"/>
      <c r="J39" s="14"/>
      <c r="K39" s="14"/>
      <c r="L39" s="14"/>
    </row>
    <row r="40" customFormat="false" ht="30" hidden="false" customHeight="true" outlineLevel="0" collapsed="false">
      <c r="A40" s="8" t="s">
        <v>62</v>
      </c>
      <c r="B40" s="8" t="s">
        <v>231</v>
      </c>
      <c r="C40" s="8" t="s">
        <v>235</v>
      </c>
      <c r="D40" s="8" t="s">
        <v>236</v>
      </c>
      <c r="E40" s="13" t="s">
        <v>139</v>
      </c>
      <c r="F40" s="8" t="s">
        <v>147</v>
      </c>
      <c r="G40" s="8" t="s">
        <v>141</v>
      </c>
      <c r="H40" s="8"/>
      <c r="I40" s="14"/>
      <c r="J40" s="14"/>
      <c r="K40" s="14"/>
      <c r="L40" s="14"/>
    </row>
    <row r="41" customFormat="false" ht="30" hidden="false" customHeight="true" outlineLevel="0" collapsed="false">
      <c r="A41" s="8" t="s">
        <v>62</v>
      </c>
      <c r="B41" s="8" t="s">
        <v>231</v>
      </c>
      <c r="C41" s="8" t="s">
        <v>237</v>
      </c>
      <c r="D41" s="8" t="s">
        <v>238</v>
      </c>
      <c r="E41" s="13" t="s">
        <v>139</v>
      </c>
      <c r="F41" s="8" t="s">
        <v>147</v>
      </c>
      <c r="G41" s="8" t="s">
        <v>141</v>
      </c>
      <c r="H41" s="8"/>
      <c r="I41" s="14"/>
      <c r="J41" s="14"/>
      <c r="K41" s="14"/>
      <c r="L41" s="14"/>
    </row>
    <row r="42" customFormat="false" ht="30" hidden="false" customHeight="true" outlineLevel="0" collapsed="false">
      <c r="A42" s="8" t="s">
        <v>62</v>
      </c>
      <c r="B42" s="8" t="s">
        <v>231</v>
      </c>
      <c r="C42" s="8" t="s">
        <v>239</v>
      </c>
      <c r="D42" s="8" t="s">
        <v>240</v>
      </c>
      <c r="E42" s="15" t="s">
        <v>187</v>
      </c>
      <c r="F42" s="8" t="s">
        <v>140</v>
      </c>
      <c r="G42" s="8" t="s">
        <v>141</v>
      </c>
      <c r="H42" s="8" t="s">
        <v>241</v>
      </c>
      <c r="I42" s="14"/>
      <c r="J42" s="14"/>
      <c r="K42" s="14"/>
      <c r="L42" s="14"/>
    </row>
    <row r="43" customFormat="false" ht="30" hidden="false" customHeight="true" outlineLevel="0" collapsed="false">
      <c r="A43" s="8" t="s">
        <v>62</v>
      </c>
      <c r="B43" s="8" t="s">
        <v>231</v>
      </c>
      <c r="C43" s="8" t="s">
        <v>242</v>
      </c>
      <c r="D43" s="8" t="s">
        <v>243</v>
      </c>
      <c r="E43" s="15" t="s">
        <v>187</v>
      </c>
      <c r="F43" s="8" t="s">
        <v>147</v>
      </c>
      <c r="G43" s="8" t="s">
        <v>141</v>
      </c>
      <c r="H43" s="8"/>
      <c r="I43" s="14"/>
      <c r="J43" s="14"/>
      <c r="K43" s="14"/>
      <c r="L43" s="14"/>
    </row>
    <row r="44" customFormat="false" ht="30" hidden="false" customHeight="true" outlineLevel="0" collapsed="false">
      <c r="A44" s="8" t="s">
        <v>62</v>
      </c>
      <c r="B44" s="8" t="s">
        <v>231</v>
      </c>
      <c r="C44" s="8" t="s">
        <v>244</v>
      </c>
      <c r="D44" s="8" t="s">
        <v>245</v>
      </c>
      <c r="E44" s="15" t="s">
        <v>187</v>
      </c>
      <c r="F44" s="8" t="s">
        <v>163</v>
      </c>
      <c r="G44" s="8" t="s">
        <v>141</v>
      </c>
      <c r="H44" s="8"/>
      <c r="I44" s="14"/>
      <c r="J44" s="14"/>
      <c r="K44" s="14"/>
      <c r="L44" s="14"/>
    </row>
    <row r="45" customFormat="false" ht="30" hidden="false" customHeight="true" outlineLevel="0" collapsed="false">
      <c r="A45" s="8" t="s">
        <v>67</v>
      </c>
      <c r="B45" s="8" t="s">
        <v>246</v>
      </c>
      <c r="C45" s="8" t="s">
        <v>247</v>
      </c>
      <c r="D45" s="8" t="s">
        <v>248</v>
      </c>
      <c r="E45" s="13" t="s">
        <v>139</v>
      </c>
      <c r="F45" s="8" t="s">
        <v>140</v>
      </c>
      <c r="G45" s="8" t="s">
        <v>141</v>
      </c>
      <c r="H45" s="8" t="s">
        <v>249</v>
      </c>
      <c r="I45" s="14"/>
      <c r="J45" s="14"/>
      <c r="K45" s="14"/>
      <c r="L45" s="14"/>
    </row>
    <row r="46" customFormat="false" ht="30" hidden="false" customHeight="true" outlineLevel="0" collapsed="false">
      <c r="A46" s="8" t="s">
        <v>67</v>
      </c>
      <c r="B46" s="8" t="s">
        <v>246</v>
      </c>
      <c r="C46" s="8" t="s">
        <v>250</v>
      </c>
      <c r="D46" s="8" t="s">
        <v>251</v>
      </c>
      <c r="E46" s="13" t="s">
        <v>139</v>
      </c>
      <c r="F46" s="8" t="s">
        <v>140</v>
      </c>
      <c r="G46" s="16" t="s">
        <v>252</v>
      </c>
      <c r="H46" s="8" t="s">
        <v>253</v>
      </c>
      <c r="I46" s="14"/>
      <c r="J46" s="14"/>
      <c r="K46" s="14"/>
      <c r="L46" s="14"/>
    </row>
    <row r="47" customFormat="false" ht="30" hidden="false" customHeight="true" outlineLevel="0" collapsed="false">
      <c r="A47" s="8" t="s">
        <v>67</v>
      </c>
      <c r="B47" s="8" t="s">
        <v>246</v>
      </c>
      <c r="C47" s="8" t="s">
        <v>254</v>
      </c>
      <c r="D47" s="8" t="s">
        <v>255</v>
      </c>
      <c r="E47" s="13" t="s">
        <v>139</v>
      </c>
      <c r="F47" s="8" t="s">
        <v>147</v>
      </c>
      <c r="G47" s="16" t="s">
        <v>252</v>
      </c>
      <c r="H47" s="8" t="s">
        <v>256</v>
      </c>
      <c r="I47" s="14"/>
      <c r="J47" s="14"/>
      <c r="K47" s="14"/>
      <c r="L47" s="14"/>
    </row>
    <row r="48" customFormat="false" ht="30" hidden="false" customHeight="true" outlineLevel="0" collapsed="false">
      <c r="A48" s="8" t="s">
        <v>67</v>
      </c>
      <c r="B48" s="8" t="s">
        <v>246</v>
      </c>
      <c r="C48" s="8" t="s">
        <v>257</v>
      </c>
      <c r="D48" s="8" t="s">
        <v>258</v>
      </c>
      <c r="E48" s="13" t="s">
        <v>139</v>
      </c>
      <c r="F48" s="8" t="s">
        <v>147</v>
      </c>
      <c r="G48" s="16" t="s">
        <v>252</v>
      </c>
      <c r="H48" s="8" t="s">
        <v>256</v>
      </c>
      <c r="I48" s="14"/>
      <c r="J48" s="14"/>
      <c r="K48" s="14"/>
      <c r="L48" s="14"/>
    </row>
    <row r="49" customFormat="false" ht="30" hidden="false" customHeight="true" outlineLevel="0" collapsed="false">
      <c r="A49" s="8" t="s">
        <v>67</v>
      </c>
      <c r="B49" s="8" t="s">
        <v>246</v>
      </c>
      <c r="C49" s="8" t="s">
        <v>259</v>
      </c>
      <c r="D49" s="8" t="s">
        <v>260</v>
      </c>
      <c r="E49" s="13" t="s">
        <v>139</v>
      </c>
      <c r="F49" s="8" t="s">
        <v>147</v>
      </c>
      <c r="G49" s="16" t="s">
        <v>252</v>
      </c>
      <c r="H49" s="8" t="s">
        <v>256</v>
      </c>
      <c r="I49" s="14"/>
      <c r="J49" s="14"/>
      <c r="K49" s="14"/>
      <c r="L49" s="14"/>
    </row>
    <row r="50" customFormat="false" ht="30" hidden="false" customHeight="true" outlineLevel="0" collapsed="false">
      <c r="A50" s="8" t="s">
        <v>67</v>
      </c>
      <c r="B50" s="8" t="s">
        <v>246</v>
      </c>
      <c r="C50" s="8" t="s">
        <v>261</v>
      </c>
      <c r="D50" s="8" t="s">
        <v>262</v>
      </c>
      <c r="E50" s="13" t="s">
        <v>139</v>
      </c>
      <c r="F50" s="8" t="s">
        <v>163</v>
      </c>
      <c r="G50" s="16" t="s">
        <v>252</v>
      </c>
      <c r="H50" s="8" t="s">
        <v>256</v>
      </c>
      <c r="I50" s="14"/>
      <c r="J50" s="14"/>
      <c r="K50" s="14"/>
      <c r="L50" s="14"/>
    </row>
    <row r="51" customFormat="false" ht="30" hidden="false" customHeight="true" outlineLevel="0" collapsed="false">
      <c r="A51" s="8" t="s">
        <v>67</v>
      </c>
      <c r="B51" s="8" t="s">
        <v>246</v>
      </c>
      <c r="C51" s="8" t="s">
        <v>263</v>
      </c>
      <c r="D51" s="8" t="s">
        <v>264</v>
      </c>
      <c r="E51" s="9" t="s">
        <v>53</v>
      </c>
      <c r="F51" s="8" t="s">
        <v>147</v>
      </c>
      <c r="G51" s="8" t="s">
        <v>141</v>
      </c>
      <c r="H51" s="8"/>
      <c r="I51" s="14"/>
      <c r="J51" s="14"/>
      <c r="K51" s="14"/>
      <c r="L51" s="14"/>
    </row>
    <row r="52" customFormat="false" ht="30" hidden="false" customHeight="true" outlineLevel="0" collapsed="false">
      <c r="A52" s="8" t="s">
        <v>67</v>
      </c>
      <c r="B52" s="8" t="s">
        <v>246</v>
      </c>
      <c r="C52" s="8" t="s">
        <v>265</v>
      </c>
      <c r="D52" s="8" t="s">
        <v>266</v>
      </c>
      <c r="E52" s="13" t="s">
        <v>139</v>
      </c>
      <c r="F52" s="8" t="s">
        <v>163</v>
      </c>
      <c r="G52" s="8" t="s">
        <v>154</v>
      </c>
      <c r="H52" s="8" t="s">
        <v>267</v>
      </c>
      <c r="I52" s="14"/>
      <c r="J52" s="14"/>
      <c r="K52" s="14"/>
      <c r="L52" s="14"/>
    </row>
    <row r="53" customFormat="false" ht="30" hidden="false" customHeight="true" outlineLevel="0" collapsed="false">
      <c r="A53" s="8" t="s">
        <v>67</v>
      </c>
      <c r="B53" s="8" t="s">
        <v>246</v>
      </c>
      <c r="C53" s="8" t="s">
        <v>268</v>
      </c>
      <c r="D53" s="8" t="s">
        <v>269</v>
      </c>
      <c r="E53" s="9" t="s">
        <v>53</v>
      </c>
      <c r="F53" s="8" t="s">
        <v>140</v>
      </c>
      <c r="G53" s="8" t="s">
        <v>154</v>
      </c>
      <c r="H53" s="8" t="s">
        <v>270</v>
      </c>
      <c r="I53" s="14"/>
      <c r="J53" s="14"/>
      <c r="K53" s="14"/>
      <c r="L53" s="14"/>
    </row>
    <row r="54" customFormat="false" ht="30" hidden="false" customHeight="true" outlineLevel="0" collapsed="false">
      <c r="A54" s="8" t="s">
        <v>72</v>
      </c>
      <c r="B54" s="8" t="s">
        <v>271</v>
      </c>
      <c r="C54" s="8" t="s">
        <v>272</v>
      </c>
      <c r="D54" s="8" t="s">
        <v>273</v>
      </c>
      <c r="E54" s="13" t="s">
        <v>139</v>
      </c>
      <c r="F54" s="8" t="s">
        <v>140</v>
      </c>
      <c r="G54" s="8" t="s">
        <v>141</v>
      </c>
      <c r="H54" s="8" t="s">
        <v>274</v>
      </c>
      <c r="I54" s="14"/>
      <c r="J54" s="14"/>
      <c r="K54" s="14"/>
      <c r="L54" s="14"/>
    </row>
    <row r="55" customFormat="false" ht="30" hidden="false" customHeight="true" outlineLevel="0" collapsed="false">
      <c r="A55" s="8" t="s">
        <v>72</v>
      </c>
      <c r="B55" s="8" t="s">
        <v>271</v>
      </c>
      <c r="C55" s="8" t="s">
        <v>275</v>
      </c>
      <c r="D55" s="8" t="s">
        <v>276</v>
      </c>
      <c r="E55" s="13" t="s">
        <v>139</v>
      </c>
      <c r="F55" s="8" t="s">
        <v>140</v>
      </c>
      <c r="G55" s="8" t="s">
        <v>141</v>
      </c>
      <c r="H55" s="8"/>
      <c r="I55" s="14"/>
      <c r="J55" s="14"/>
      <c r="K55" s="14"/>
      <c r="L55" s="14"/>
    </row>
    <row r="56" customFormat="false" ht="30" hidden="false" customHeight="true" outlineLevel="0" collapsed="false">
      <c r="A56" s="8" t="s">
        <v>72</v>
      </c>
      <c r="B56" s="8" t="s">
        <v>271</v>
      </c>
      <c r="C56" s="8" t="s">
        <v>277</v>
      </c>
      <c r="D56" s="8" t="s">
        <v>278</v>
      </c>
      <c r="E56" s="15" t="s">
        <v>187</v>
      </c>
      <c r="F56" s="8" t="s">
        <v>140</v>
      </c>
      <c r="G56" s="8" t="s">
        <v>141</v>
      </c>
      <c r="H56" s="8" t="s">
        <v>279</v>
      </c>
      <c r="I56" s="14"/>
      <c r="J56" s="14"/>
      <c r="K56" s="14"/>
      <c r="L56" s="14"/>
    </row>
    <row r="57" customFormat="false" ht="30" hidden="false" customHeight="true" outlineLevel="0" collapsed="false">
      <c r="A57" s="8" t="s">
        <v>72</v>
      </c>
      <c r="B57" s="8" t="s">
        <v>271</v>
      </c>
      <c r="C57" s="8" t="s">
        <v>280</v>
      </c>
      <c r="D57" s="8" t="s">
        <v>281</v>
      </c>
      <c r="E57" s="15" t="s">
        <v>187</v>
      </c>
      <c r="F57" s="8" t="s">
        <v>140</v>
      </c>
      <c r="G57" s="8" t="s">
        <v>141</v>
      </c>
      <c r="H57" s="8" t="s">
        <v>282</v>
      </c>
      <c r="I57" s="14"/>
      <c r="J57" s="14"/>
      <c r="K57" s="14"/>
      <c r="L57" s="14"/>
    </row>
    <row r="58" customFormat="false" ht="30" hidden="false" customHeight="true" outlineLevel="0" collapsed="false">
      <c r="A58" s="8" t="s">
        <v>72</v>
      </c>
      <c r="B58" s="8" t="s">
        <v>271</v>
      </c>
      <c r="C58" s="8" t="s">
        <v>283</v>
      </c>
      <c r="D58" s="8" t="s">
        <v>284</v>
      </c>
      <c r="E58" s="13" t="s">
        <v>139</v>
      </c>
      <c r="F58" s="8" t="s">
        <v>147</v>
      </c>
      <c r="G58" s="8" t="s">
        <v>141</v>
      </c>
      <c r="H58" s="8"/>
      <c r="I58" s="14"/>
      <c r="J58" s="14"/>
      <c r="K58" s="14"/>
      <c r="L58" s="14"/>
    </row>
    <row r="59" customFormat="false" ht="30" hidden="false" customHeight="true" outlineLevel="0" collapsed="false">
      <c r="A59" s="8" t="s">
        <v>72</v>
      </c>
      <c r="B59" s="8" t="s">
        <v>271</v>
      </c>
      <c r="C59" s="8" t="s">
        <v>285</v>
      </c>
      <c r="D59" s="8" t="s">
        <v>286</v>
      </c>
      <c r="E59" s="9" t="s">
        <v>53</v>
      </c>
      <c r="F59" s="8" t="s">
        <v>147</v>
      </c>
      <c r="G59" s="8" t="s">
        <v>141</v>
      </c>
      <c r="H59" s="8" t="s">
        <v>287</v>
      </c>
      <c r="I59" s="14"/>
      <c r="J59" s="14"/>
      <c r="K59" s="14"/>
      <c r="L59" s="14"/>
    </row>
    <row r="60" customFormat="false" ht="30" hidden="false" customHeight="true" outlineLevel="0" collapsed="false">
      <c r="A60" s="8" t="s">
        <v>72</v>
      </c>
      <c r="B60" s="8" t="s">
        <v>271</v>
      </c>
      <c r="C60" s="8" t="s">
        <v>288</v>
      </c>
      <c r="D60" s="8" t="s">
        <v>289</v>
      </c>
      <c r="E60" s="9" t="s">
        <v>53</v>
      </c>
      <c r="F60" s="8" t="s">
        <v>163</v>
      </c>
      <c r="G60" s="8" t="s">
        <v>141</v>
      </c>
      <c r="H60" s="8" t="s">
        <v>290</v>
      </c>
      <c r="I60" s="14"/>
      <c r="J60" s="14"/>
      <c r="K60" s="14"/>
      <c r="L60" s="14"/>
    </row>
    <row r="61" customFormat="false" ht="30" hidden="false" customHeight="true" outlineLevel="0" collapsed="false">
      <c r="A61" s="8" t="s">
        <v>72</v>
      </c>
      <c r="B61" s="8" t="s">
        <v>271</v>
      </c>
      <c r="C61" s="8" t="s">
        <v>291</v>
      </c>
      <c r="D61" s="8" t="s">
        <v>292</v>
      </c>
      <c r="E61" s="15" t="s">
        <v>187</v>
      </c>
      <c r="F61" s="8" t="s">
        <v>147</v>
      </c>
      <c r="G61" s="8" t="s">
        <v>141</v>
      </c>
      <c r="H61" s="8" t="s">
        <v>293</v>
      </c>
      <c r="I61" s="14"/>
      <c r="J61" s="14"/>
      <c r="K61" s="14"/>
      <c r="L61" s="14"/>
    </row>
    <row r="62" customFormat="false" ht="30" hidden="false" customHeight="true" outlineLevel="0" collapsed="false">
      <c r="A62" s="8" t="s">
        <v>72</v>
      </c>
      <c r="B62" s="8" t="s">
        <v>271</v>
      </c>
      <c r="C62" s="8" t="s">
        <v>294</v>
      </c>
      <c r="D62" s="8" t="s">
        <v>295</v>
      </c>
      <c r="E62" s="13" t="s">
        <v>139</v>
      </c>
      <c r="F62" s="8" t="s">
        <v>147</v>
      </c>
      <c r="G62" s="8" t="s">
        <v>141</v>
      </c>
      <c r="H62" s="8"/>
      <c r="I62" s="14"/>
      <c r="J62" s="14"/>
      <c r="K62" s="14"/>
      <c r="L62" s="14"/>
    </row>
    <row r="63" customFormat="false" ht="30" hidden="false" customHeight="true" outlineLevel="0" collapsed="false">
      <c r="A63" s="8" t="s">
        <v>72</v>
      </c>
      <c r="B63" s="8" t="s">
        <v>271</v>
      </c>
      <c r="C63" s="8" t="s">
        <v>296</v>
      </c>
      <c r="D63" s="8" t="s">
        <v>297</v>
      </c>
      <c r="E63" s="15" t="s">
        <v>187</v>
      </c>
      <c r="F63" s="8" t="s">
        <v>163</v>
      </c>
      <c r="G63" s="8" t="s">
        <v>154</v>
      </c>
      <c r="H63" s="8" t="s">
        <v>298</v>
      </c>
      <c r="I63" s="14"/>
      <c r="J63" s="14"/>
      <c r="K63" s="14"/>
      <c r="L63" s="14"/>
    </row>
    <row r="64" customFormat="false" ht="30" hidden="false" customHeight="true" outlineLevel="0" collapsed="false">
      <c r="A64" s="8" t="s">
        <v>72</v>
      </c>
      <c r="B64" s="8" t="s">
        <v>271</v>
      </c>
      <c r="C64" s="8" t="s">
        <v>299</v>
      </c>
      <c r="D64" s="8" t="s">
        <v>300</v>
      </c>
      <c r="E64" s="9" t="s">
        <v>53</v>
      </c>
      <c r="F64" s="8" t="s">
        <v>163</v>
      </c>
      <c r="G64" s="8" t="s">
        <v>154</v>
      </c>
      <c r="H64" s="8" t="s">
        <v>301</v>
      </c>
      <c r="I64" s="14"/>
      <c r="J64" s="14"/>
      <c r="K64" s="14"/>
      <c r="L64" s="14"/>
    </row>
    <row r="65" customFormat="false" ht="30" hidden="false" customHeight="true" outlineLevel="0" collapsed="false">
      <c r="A65" s="8" t="s">
        <v>72</v>
      </c>
      <c r="B65" s="8" t="s">
        <v>271</v>
      </c>
      <c r="C65" s="8" t="s">
        <v>302</v>
      </c>
      <c r="D65" s="8" t="s">
        <v>303</v>
      </c>
      <c r="E65" s="9" t="s">
        <v>53</v>
      </c>
      <c r="F65" s="8" t="s">
        <v>163</v>
      </c>
      <c r="G65" s="8" t="s">
        <v>154</v>
      </c>
      <c r="H65" s="8" t="s">
        <v>304</v>
      </c>
      <c r="I65" s="14"/>
      <c r="J65" s="14"/>
      <c r="K65" s="14"/>
      <c r="L65" s="14"/>
    </row>
    <row r="66" customFormat="false" ht="30" hidden="false" customHeight="true" outlineLevel="0" collapsed="false">
      <c r="A66" s="8" t="s">
        <v>72</v>
      </c>
      <c r="B66" s="8" t="s">
        <v>271</v>
      </c>
      <c r="C66" s="8" t="s">
        <v>305</v>
      </c>
      <c r="D66" s="8" t="s">
        <v>306</v>
      </c>
      <c r="E66" s="9" t="s">
        <v>53</v>
      </c>
      <c r="F66" s="8" t="s">
        <v>163</v>
      </c>
      <c r="G66" s="8" t="s">
        <v>154</v>
      </c>
      <c r="H66" s="8" t="s">
        <v>304</v>
      </c>
      <c r="I66" s="14"/>
      <c r="J66" s="14"/>
      <c r="K66" s="14"/>
      <c r="L66" s="14"/>
    </row>
    <row r="67" customFormat="false" ht="30" hidden="false" customHeight="true" outlineLevel="0" collapsed="false">
      <c r="A67" s="8" t="s">
        <v>77</v>
      </c>
      <c r="B67" s="8" t="s">
        <v>307</v>
      </c>
      <c r="C67" s="8" t="s">
        <v>308</v>
      </c>
      <c r="D67" s="8" t="s">
        <v>309</v>
      </c>
      <c r="E67" s="13" t="s">
        <v>139</v>
      </c>
      <c r="F67" s="8" t="s">
        <v>140</v>
      </c>
      <c r="G67" s="8" t="s">
        <v>154</v>
      </c>
      <c r="H67" s="8"/>
      <c r="I67" s="14"/>
      <c r="J67" s="14"/>
      <c r="K67" s="14"/>
      <c r="L67" s="14"/>
    </row>
    <row r="68" customFormat="false" ht="30" hidden="false" customHeight="true" outlineLevel="0" collapsed="false">
      <c r="A68" s="8" t="s">
        <v>77</v>
      </c>
      <c r="B68" s="8" t="s">
        <v>307</v>
      </c>
      <c r="C68" s="8" t="s">
        <v>310</v>
      </c>
      <c r="D68" s="8" t="s">
        <v>311</v>
      </c>
      <c r="E68" s="13" t="s">
        <v>139</v>
      </c>
      <c r="F68" s="8" t="s">
        <v>140</v>
      </c>
      <c r="G68" s="8" t="s">
        <v>154</v>
      </c>
      <c r="H68" s="8"/>
      <c r="I68" s="14"/>
      <c r="J68" s="14"/>
      <c r="K68" s="14"/>
      <c r="L68" s="14"/>
    </row>
    <row r="69" customFormat="false" ht="30" hidden="false" customHeight="true" outlineLevel="0" collapsed="false">
      <c r="A69" s="8" t="s">
        <v>77</v>
      </c>
      <c r="B69" s="8" t="s">
        <v>307</v>
      </c>
      <c r="C69" s="8" t="s">
        <v>312</v>
      </c>
      <c r="D69" s="8" t="s">
        <v>313</v>
      </c>
      <c r="E69" s="13" t="s">
        <v>139</v>
      </c>
      <c r="F69" s="8" t="s">
        <v>140</v>
      </c>
      <c r="G69" s="8" t="s">
        <v>154</v>
      </c>
      <c r="H69" s="8" t="s">
        <v>314</v>
      </c>
      <c r="I69" s="14"/>
      <c r="J69" s="14"/>
      <c r="K69" s="14"/>
      <c r="L69" s="14"/>
    </row>
    <row r="70" customFormat="false" ht="30" hidden="false" customHeight="true" outlineLevel="0" collapsed="false">
      <c r="A70" s="8" t="s">
        <v>77</v>
      </c>
      <c r="B70" s="8" t="s">
        <v>307</v>
      </c>
      <c r="C70" s="8" t="s">
        <v>315</v>
      </c>
      <c r="D70" s="8" t="s">
        <v>316</v>
      </c>
      <c r="E70" s="9" t="s">
        <v>53</v>
      </c>
      <c r="F70" s="8" t="s">
        <v>140</v>
      </c>
      <c r="G70" s="8" t="s">
        <v>141</v>
      </c>
      <c r="H70" s="8" t="s">
        <v>317</v>
      </c>
      <c r="I70" s="14"/>
      <c r="J70" s="14"/>
      <c r="K70" s="14"/>
      <c r="L70" s="14"/>
    </row>
    <row r="71" customFormat="false" ht="30" hidden="false" customHeight="true" outlineLevel="0" collapsed="false">
      <c r="A71" s="8" t="s">
        <v>77</v>
      </c>
      <c r="B71" s="8" t="s">
        <v>307</v>
      </c>
      <c r="C71" s="8" t="s">
        <v>318</v>
      </c>
      <c r="D71" s="8" t="s">
        <v>319</v>
      </c>
      <c r="E71" s="9" t="s">
        <v>53</v>
      </c>
      <c r="F71" s="8" t="s">
        <v>140</v>
      </c>
      <c r="G71" s="8" t="s">
        <v>141</v>
      </c>
      <c r="H71" s="8" t="s">
        <v>320</v>
      </c>
      <c r="I71" s="14"/>
      <c r="J71" s="14"/>
      <c r="K71" s="14"/>
      <c r="L71" s="14"/>
    </row>
    <row r="72" customFormat="false" ht="30" hidden="false" customHeight="true" outlineLevel="0" collapsed="false">
      <c r="A72" s="8" t="s">
        <v>77</v>
      </c>
      <c r="B72" s="8" t="s">
        <v>307</v>
      </c>
      <c r="C72" s="8" t="s">
        <v>321</v>
      </c>
      <c r="D72" s="8" t="s">
        <v>322</v>
      </c>
      <c r="E72" s="13" t="s">
        <v>139</v>
      </c>
      <c r="F72" s="8" t="s">
        <v>147</v>
      </c>
      <c r="G72" s="8" t="s">
        <v>154</v>
      </c>
      <c r="H72" s="8"/>
      <c r="I72" s="14"/>
      <c r="J72" s="14"/>
      <c r="K72" s="14"/>
      <c r="L72" s="14"/>
    </row>
    <row r="73" customFormat="false" ht="30" hidden="false" customHeight="true" outlineLevel="0" collapsed="false">
      <c r="A73" s="8" t="s">
        <v>77</v>
      </c>
      <c r="B73" s="8" t="s">
        <v>307</v>
      </c>
      <c r="C73" s="8" t="s">
        <v>323</v>
      </c>
      <c r="D73" s="8" t="s">
        <v>324</v>
      </c>
      <c r="E73" s="13" t="s">
        <v>139</v>
      </c>
      <c r="F73" s="8" t="s">
        <v>163</v>
      </c>
      <c r="G73" s="8" t="s">
        <v>154</v>
      </c>
      <c r="H73" s="8" t="s">
        <v>325</v>
      </c>
      <c r="I73" s="14"/>
      <c r="J73" s="14"/>
      <c r="K73" s="14"/>
      <c r="L73" s="14"/>
    </row>
    <row r="74" customFormat="false" ht="30" hidden="false" customHeight="true" outlineLevel="0" collapsed="false">
      <c r="A74" s="8" t="s">
        <v>77</v>
      </c>
      <c r="B74" s="8" t="s">
        <v>307</v>
      </c>
      <c r="C74" s="8" t="s">
        <v>326</v>
      </c>
      <c r="D74" s="8" t="s">
        <v>327</v>
      </c>
      <c r="E74" s="13" t="s">
        <v>139</v>
      </c>
      <c r="F74" s="8" t="s">
        <v>140</v>
      </c>
      <c r="G74" s="8" t="s">
        <v>141</v>
      </c>
      <c r="H74" s="8" t="s">
        <v>328</v>
      </c>
      <c r="I74" s="14"/>
      <c r="J74" s="14"/>
      <c r="K74" s="14"/>
      <c r="L74" s="14"/>
    </row>
    <row r="75" customFormat="false" ht="30" hidden="false" customHeight="true" outlineLevel="0" collapsed="false">
      <c r="A75" s="8" t="s">
        <v>81</v>
      </c>
      <c r="B75" s="8" t="s">
        <v>329</v>
      </c>
      <c r="C75" s="8" t="s">
        <v>330</v>
      </c>
      <c r="D75" s="8" t="s">
        <v>331</v>
      </c>
      <c r="E75" s="13" t="s">
        <v>139</v>
      </c>
      <c r="F75" s="8" t="s">
        <v>140</v>
      </c>
      <c r="G75" s="8" t="s">
        <v>141</v>
      </c>
      <c r="H75" s="8"/>
      <c r="I75" s="14"/>
      <c r="J75" s="14"/>
      <c r="K75" s="14"/>
      <c r="L75" s="14"/>
    </row>
    <row r="76" customFormat="false" ht="30" hidden="false" customHeight="true" outlineLevel="0" collapsed="false">
      <c r="A76" s="8" t="s">
        <v>81</v>
      </c>
      <c r="B76" s="8" t="s">
        <v>329</v>
      </c>
      <c r="C76" s="8" t="s">
        <v>332</v>
      </c>
      <c r="D76" s="8" t="s">
        <v>333</v>
      </c>
      <c r="E76" s="13" t="s">
        <v>139</v>
      </c>
      <c r="F76" s="8" t="s">
        <v>140</v>
      </c>
      <c r="G76" s="8" t="s">
        <v>141</v>
      </c>
      <c r="H76" s="8"/>
      <c r="I76" s="14"/>
      <c r="J76" s="14"/>
      <c r="K76" s="14"/>
      <c r="L76" s="14"/>
    </row>
    <row r="77" customFormat="false" ht="30" hidden="false" customHeight="true" outlineLevel="0" collapsed="false">
      <c r="A77" s="8" t="s">
        <v>81</v>
      </c>
      <c r="B77" s="8" t="s">
        <v>329</v>
      </c>
      <c r="C77" s="8" t="s">
        <v>334</v>
      </c>
      <c r="D77" s="8" t="s">
        <v>335</v>
      </c>
      <c r="E77" s="13" t="s">
        <v>139</v>
      </c>
      <c r="F77" s="8" t="s">
        <v>140</v>
      </c>
      <c r="G77" s="8" t="s">
        <v>141</v>
      </c>
      <c r="H77" s="8"/>
      <c r="I77" s="14"/>
      <c r="J77" s="14"/>
      <c r="K77" s="14"/>
      <c r="L77" s="14"/>
    </row>
    <row r="78" customFormat="false" ht="30" hidden="false" customHeight="true" outlineLevel="0" collapsed="false">
      <c r="A78" s="8" t="s">
        <v>81</v>
      </c>
      <c r="B78" s="8" t="s">
        <v>329</v>
      </c>
      <c r="C78" s="8" t="s">
        <v>336</v>
      </c>
      <c r="D78" s="8" t="s">
        <v>337</v>
      </c>
      <c r="E78" s="9" t="s">
        <v>53</v>
      </c>
      <c r="F78" s="8" t="s">
        <v>147</v>
      </c>
      <c r="G78" s="8" t="s">
        <v>141</v>
      </c>
      <c r="H78" s="8"/>
      <c r="I78" s="14"/>
      <c r="J78" s="14"/>
      <c r="K78" s="14"/>
      <c r="L78" s="14"/>
    </row>
    <row r="79" customFormat="false" ht="30" hidden="false" customHeight="true" outlineLevel="0" collapsed="false">
      <c r="A79" s="8" t="s">
        <v>81</v>
      </c>
      <c r="B79" s="8" t="s">
        <v>329</v>
      </c>
      <c r="C79" s="8" t="s">
        <v>338</v>
      </c>
      <c r="D79" s="8" t="s">
        <v>339</v>
      </c>
      <c r="E79" s="13" t="s">
        <v>139</v>
      </c>
      <c r="F79" s="8" t="s">
        <v>163</v>
      </c>
      <c r="G79" s="8" t="s">
        <v>141</v>
      </c>
      <c r="H79" s="8"/>
      <c r="I79" s="14"/>
      <c r="J79" s="14"/>
      <c r="K79" s="14"/>
      <c r="L79" s="14"/>
    </row>
    <row r="80" customFormat="false" ht="30" hidden="false" customHeight="true" outlineLevel="0" collapsed="false">
      <c r="A80" s="8" t="s">
        <v>81</v>
      </c>
      <c r="B80" s="8" t="s">
        <v>329</v>
      </c>
      <c r="C80" s="8" t="s">
        <v>340</v>
      </c>
      <c r="D80" s="8" t="s">
        <v>341</v>
      </c>
      <c r="E80" s="9" t="s">
        <v>53</v>
      </c>
      <c r="F80" s="8" t="s">
        <v>163</v>
      </c>
      <c r="G80" s="8" t="s">
        <v>154</v>
      </c>
      <c r="H80" s="8"/>
      <c r="I80" s="14"/>
      <c r="J80" s="14"/>
      <c r="K80" s="14"/>
      <c r="L80" s="14"/>
    </row>
    <row r="81" customFormat="false" ht="30" hidden="false" customHeight="true" outlineLevel="0" collapsed="false">
      <c r="A81" s="8" t="s">
        <v>85</v>
      </c>
      <c r="B81" s="8" t="s">
        <v>342</v>
      </c>
      <c r="C81" s="8" t="s">
        <v>343</v>
      </c>
      <c r="D81" s="8" t="s">
        <v>344</v>
      </c>
      <c r="E81" s="13" t="s">
        <v>139</v>
      </c>
      <c r="F81" s="8" t="s">
        <v>140</v>
      </c>
      <c r="G81" s="8" t="s">
        <v>141</v>
      </c>
      <c r="H81" s="8" t="s">
        <v>345</v>
      </c>
      <c r="I81" s="14"/>
      <c r="J81" s="14"/>
      <c r="K81" s="14"/>
      <c r="L81" s="14"/>
    </row>
    <row r="82" customFormat="false" ht="30" hidden="false" customHeight="true" outlineLevel="0" collapsed="false">
      <c r="A82" s="8" t="s">
        <v>85</v>
      </c>
      <c r="B82" s="8" t="s">
        <v>342</v>
      </c>
      <c r="C82" s="8" t="s">
        <v>346</v>
      </c>
      <c r="D82" s="8" t="s">
        <v>347</v>
      </c>
      <c r="E82" s="13" t="s">
        <v>139</v>
      </c>
      <c r="F82" s="8" t="s">
        <v>140</v>
      </c>
      <c r="G82" s="8" t="s">
        <v>141</v>
      </c>
      <c r="H82" s="8"/>
      <c r="I82" s="14"/>
      <c r="J82" s="14"/>
      <c r="K82" s="14"/>
      <c r="L82" s="14"/>
    </row>
    <row r="83" customFormat="false" ht="30" hidden="false" customHeight="true" outlineLevel="0" collapsed="false">
      <c r="A83" s="8" t="s">
        <v>85</v>
      </c>
      <c r="B83" s="8" t="s">
        <v>342</v>
      </c>
      <c r="C83" s="8" t="s">
        <v>348</v>
      </c>
      <c r="D83" s="8" t="s">
        <v>349</v>
      </c>
      <c r="E83" s="13" t="s">
        <v>139</v>
      </c>
      <c r="F83" s="8" t="s">
        <v>140</v>
      </c>
      <c r="G83" s="8" t="s">
        <v>141</v>
      </c>
      <c r="H83" s="8"/>
      <c r="I83" s="14"/>
      <c r="J83" s="14"/>
      <c r="K83" s="14"/>
      <c r="L83" s="14"/>
    </row>
    <row r="84" customFormat="false" ht="30" hidden="false" customHeight="true" outlineLevel="0" collapsed="false">
      <c r="A84" s="8" t="s">
        <v>85</v>
      </c>
      <c r="B84" s="8" t="s">
        <v>342</v>
      </c>
      <c r="C84" s="8" t="s">
        <v>350</v>
      </c>
      <c r="D84" s="8" t="s">
        <v>351</v>
      </c>
      <c r="E84" s="9" t="s">
        <v>53</v>
      </c>
      <c r="F84" s="8" t="s">
        <v>140</v>
      </c>
      <c r="G84" s="8" t="s">
        <v>141</v>
      </c>
      <c r="H84" s="8" t="s">
        <v>352</v>
      </c>
      <c r="I84" s="14"/>
      <c r="J84" s="14"/>
      <c r="K84" s="14"/>
      <c r="L84" s="14"/>
    </row>
    <row r="85" customFormat="false" ht="30" hidden="false" customHeight="true" outlineLevel="0" collapsed="false">
      <c r="A85" s="8" t="s">
        <v>85</v>
      </c>
      <c r="B85" s="8" t="s">
        <v>342</v>
      </c>
      <c r="C85" s="8" t="s">
        <v>353</v>
      </c>
      <c r="D85" s="8" t="s">
        <v>354</v>
      </c>
      <c r="E85" s="13" t="s">
        <v>139</v>
      </c>
      <c r="F85" s="8" t="s">
        <v>147</v>
      </c>
      <c r="G85" s="8" t="s">
        <v>141</v>
      </c>
      <c r="H85" s="8"/>
      <c r="I85" s="14"/>
      <c r="J85" s="14"/>
      <c r="K85" s="14"/>
      <c r="L85" s="14"/>
    </row>
    <row r="86" customFormat="false" ht="30" hidden="false" customHeight="true" outlineLevel="0" collapsed="false">
      <c r="A86" s="8" t="s">
        <v>85</v>
      </c>
      <c r="B86" s="8" t="s">
        <v>342</v>
      </c>
      <c r="C86" s="8" t="s">
        <v>355</v>
      </c>
      <c r="D86" s="8" t="s">
        <v>356</v>
      </c>
      <c r="E86" s="13" t="s">
        <v>139</v>
      </c>
      <c r="F86" s="8" t="s">
        <v>147</v>
      </c>
      <c r="G86" s="8" t="s">
        <v>141</v>
      </c>
      <c r="H86" s="8"/>
      <c r="I86" s="14"/>
      <c r="J86" s="14"/>
      <c r="K86" s="14"/>
      <c r="L86" s="14"/>
    </row>
    <row r="87" customFormat="false" ht="30" hidden="false" customHeight="true" outlineLevel="0" collapsed="false">
      <c r="A87" s="8" t="s">
        <v>85</v>
      </c>
      <c r="B87" s="8" t="s">
        <v>342</v>
      </c>
      <c r="C87" s="8" t="s">
        <v>357</v>
      </c>
      <c r="D87" s="8" t="s">
        <v>358</v>
      </c>
      <c r="E87" s="13" t="s">
        <v>139</v>
      </c>
      <c r="F87" s="8" t="s">
        <v>147</v>
      </c>
      <c r="G87" s="8" t="s">
        <v>141</v>
      </c>
      <c r="H87" s="8"/>
      <c r="I87" s="14"/>
      <c r="J87" s="14"/>
      <c r="K87" s="14"/>
      <c r="L87" s="14"/>
    </row>
    <row r="88" customFormat="false" ht="30" hidden="false" customHeight="true" outlineLevel="0" collapsed="false">
      <c r="A88" s="8" t="s">
        <v>85</v>
      </c>
      <c r="B88" s="8" t="s">
        <v>342</v>
      </c>
      <c r="C88" s="8" t="s">
        <v>359</v>
      </c>
      <c r="D88" s="8" t="s">
        <v>360</v>
      </c>
      <c r="E88" s="13" t="s">
        <v>139</v>
      </c>
      <c r="F88" s="8" t="s">
        <v>163</v>
      </c>
      <c r="G88" s="8" t="s">
        <v>141</v>
      </c>
      <c r="H88" s="8"/>
      <c r="I88" s="14"/>
      <c r="J88" s="14"/>
      <c r="K88" s="14"/>
      <c r="L88" s="14"/>
    </row>
    <row r="89" customFormat="false" ht="30" hidden="false" customHeight="true" outlineLevel="0" collapsed="false">
      <c r="A89" s="8" t="s">
        <v>85</v>
      </c>
      <c r="B89" s="8" t="s">
        <v>342</v>
      </c>
      <c r="C89" s="8" t="s">
        <v>361</v>
      </c>
      <c r="D89" s="8" t="s">
        <v>362</v>
      </c>
      <c r="E89" s="9" t="s">
        <v>53</v>
      </c>
      <c r="F89" s="8" t="s">
        <v>163</v>
      </c>
      <c r="G89" s="8" t="s">
        <v>141</v>
      </c>
      <c r="H89" s="8"/>
      <c r="I89" s="14"/>
      <c r="J89" s="14"/>
      <c r="K89" s="14"/>
      <c r="L89" s="14"/>
    </row>
    <row r="90" customFormat="false" ht="30" hidden="false" customHeight="true" outlineLevel="0" collapsed="false">
      <c r="A90" s="8" t="s">
        <v>89</v>
      </c>
      <c r="B90" s="8" t="s">
        <v>363</v>
      </c>
      <c r="C90" s="8" t="s">
        <v>364</v>
      </c>
      <c r="D90" s="8" t="s">
        <v>365</v>
      </c>
      <c r="E90" s="13" t="s">
        <v>139</v>
      </c>
      <c r="F90" s="8" t="s">
        <v>140</v>
      </c>
      <c r="G90" s="8" t="s">
        <v>141</v>
      </c>
      <c r="H90" s="8" t="s">
        <v>366</v>
      </c>
      <c r="I90" s="14"/>
      <c r="J90" s="14"/>
      <c r="K90" s="14"/>
      <c r="L90" s="14"/>
    </row>
    <row r="91" customFormat="false" ht="30" hidden="false" customHeight="true" outlineLevel="0" collapsed="false">
      <c r="A91" s="8" t="s">
        <v>89</v>
      </c>
      <c r="B91" s="8" t="s">
        <v>363</v>
      </c>
      <c r="C91" s="8" t="s">
        <v>367</v>
      </c>
      <c r="D91" s="8" t="s">
        <v>368</v>
      </c>
      <c r="E91" s="13" t="s">
        <v>139</v>
      </c>
      <c r="F91" s="8" t="s">
        <v>140</v>
      </c>
      <c r="G91" s="8" t="s">
        <v>141</v>
      </c>
      <c r="H91" s="8"/>
      <c r="I91" s="14"/>
      <c r="J91" s="14"/>
      <c r="K91" s="14"/>
      <c r="L91" s="14"/>
    </row>
    <row r="92" customFormat="false" ht="30" hidden="false" customHeight="true" outlineLevel="0" collapsed="false">
      <c r="A92" s="8" t="s">
        <v>89</v>
      </c>
      <c r="B92" s="8" t="s">
        <v>363</v>
      </c>
      <c r="C92" s="8" t="s">
        <v>369</v>
      </c>
      <c r="D92" s="8" t="s">
        <v>370</v>
      </c>
      <c r="E92" s="13" t="s">
        <v>139</v>
      </c>
      <c r="F92" s="8" t="s">
        <v>140</v>
      </c>
      <c r="G92" s="8" t="s">
        <v>141</v>
      </c>
      <c r="H92" s="8"/>
      <c r="I92" s="14"/>
      <c r="J92" s="14"/>
      <c r="K92" s="14"/>
      <c r="L92" s="14"/>
    </row>
    <row r="93" customFormat="false" ht="30" hidden="false" customHeight="true" outlineLevel="0" collapsed="false">
      <c r="A93" s="8" t="s">
        <v>89</v>
      </c>
      <c r="B93" s="8" t="s">
        <v>363</v>
      </c>
      <c r="C93" s="8" t="s">
        <v>371</v>
      </c>
      <c r="D93" s="8" t="s">
        <v>372</v>
      </c>
      <c r="E93" s="9" t="s">
        <v>53</v>
      </c>
      <c r="F93" s="8" t="s">
        <v>140</v>
      </c>
      <c r="G93" s="8" t="s">
        <v>141</v>
      </c>
      <c r="H93" s="8"/>
      <c r="I93" s="14"/>
      <c r="J93" s="14"/>
      <c r="K93" s="14"/>
      <c r="L93" s="14"/>
    </row>
    <row r="94" customFormat="false" ht="30" hidden="false" customHeight="true" outlineLevel="0" collapsed="false">
      <c r="A94" s="8" t="s">
        <v>89</v>
      </c>
      <c r="B94" s="8" t="s">
        <v>363</v>
      </c>
      <c r="C94" s="8" t="s">
        <v>373</v>
      </c>
      <c r="D94" s="8" t="s">
        <v>374</v>
      </c>
      <c r="E94" s="9" t="s">
        <v>53</v>
      </c>
      <c r="F94" s="8" t="s">
        <v>140</v>
      </c>
      <c r="G94" s="8" t="s">
        <v>141</v>
      </c>
      <c r="H94" s="8"/>
      <c r="I94" s="14"/>
      <c r="J94" s="14"/>
      <c r="K94" s="14"/>
      <c r="L94" s="14"/>
    </row>
    <row r="95" customFormat="false" ht="30" hidden="false" customHeight="true" outlineLevel="0" collapsed="false">
      <c r="A95" s="8" t="s">
        <v>89</v>
      </c>
      <c r="B95" s="8" t="s">
        <v>363</v>
      </c>
      <c r="C95" s="8" t="s">
        <v>375</v>
      </c>
      <c r="D95" s="8" t="s">
        <v>376</v>
      </c>
      <c r="E95" s="9" t="s">
        <v>53</v>
      </c>
      <c r="F95" s="8" t="s">
        <v>147</v>
      </c>
      <c r="G95" s="8" t="s">
        <v>141</v>
      </c>
      <c r="H95" s="8"/>
      <c r="I95" s="14"/>
      <c r="J95" s="14"/>
      <c r="K95" s="14"/>
      <c r="L95" s="14"/>
    </row>
    <row r="96" customFormat="false" ht="30" hidden="false" customHeight="true" outlineLevel="0" collapsed="false">
      <c r="A96" s="8" t="s">
        <v>89</v>
      </c>
      <c r="B96" s="8" t="s">
        <v>363</v>
      </c>
      <c r="C96" s="8" t="s">
        <v>377</v>
      </c>
      <c r="D96" s="8" t="s">
        <v>378</v>
      </c>
      <c r="E96" s="9" t="s">
        <v>53</v>
      </c>
      <c r="F96" s="8" t="s">
        <v>147</v>
      </c>
      <c r="G96" s="8" t="s">
        <v>141</v>
      </c>
      <c r="H96" s="8" t="s">
        <v>379</v>
      </c>
      <c r="I96" s="14"/>
      <c r="J96" s="14"/>
      <c r="K96" s="14"/>
      <c r="L96" s="14"/>
    </row>
    <row r="97" customFormat="false" ht="30" hidden="false" customHeight="true" outlineLevel="0" collapsed="false">
      <c r="A97" s="8" t="s">
        <v>89</v>
      </c>
      <c r="B97" s="8" t="s">
        <v>363</v>
      </c>
      <c r="C97" s="8" t="s">
        <v>380</v>
      </c>
      <c r="D97" s="8" t="s">
        <v>381</v>
      </c>
      <c r="E97" s="9" t="s">
        <v>53</v>
      </c>
      <c r="F97" s="8" t="s">
        <v>163</v>
      </c>
      <c r="G97" s="8" t="s">
        <v>141</v>
      </c>
      <c r="H97" s="8"/>
      <c r="I97" s="14"/>
      <c r="J97" s="14"/>
      <c r="K97" s="14"/>
      <c r="L97" s="14"/>
    </row>
    <row r="98" customFormat="false" ht="30" hidden="false" customHeight="true" outlineLevel="0" collapsed="false">
      <c r="A98" s="8" t="s">
        <v>89</v>
      </c>
      <c r="B98" s="8" t="s">
        <v>363</v>
      </c>
      <c r="C98" s="8" t="s">
        <v>382</v>
      </c>
      <c r="D98" s="8" t="s">
        <v>383</v>
      </c>
      <c r="E98" s="13" t="s">
        <v>139</v>
      </c>
      <c r="F98" s="8" t="s">
        <v>147</v>
      </c>
      <c r="G98" s="8" t="s">
        <v>141</v>
      </c>
      <c r="H98" s="8"/>
      <c r="I98" s="14"/>
      <c r="J98" s="14"/>
      <c r="K98" s="14"/>
      <c r="L98" s="14"/>
    </row>
    <row r="99" customFormat="false" ht="30" hidden="false" customHeight="true" outlineLevel="0" collapsed="false">
      <c r="A99" s="8" t="s">
        <v>89</v>
      </c>
      <c r="B99" s="8" t="s">
        <v>363</v>
      </c>
      <c r="C99" s="8" t="s">
        <v>384</v>
      </c>
      <c r="D99" s="8" t="s">
        <v>385</v>
      </c>
      <c r="E99" s="13" t="s">
        <v>139</v>
      </c>
      <c r="F99" s="8" t="s">
        <v>147</v>
      </c>
      <c r="G99" s="8" t="s">
        <v>141</v>
      </c>
      <c r="H99" s="8"/>
      <c r="I99" s="14"/>
      <c r="J99" s="14"/>
      <c r="K99" s="14"/>
      <c r="L99" s="14"/>
    </row>
    <row r="100" customFormat="false" ht="30" hidden="false" customHeight="true" outlineLevel="0" collapsed="false">
      <c r="A100" s="8" t="s">
        <v>89</v>
      </c>
      <c r="B100" s="8" t="s">
        <v>363</v>
      </c>
      <c r="C100" s="8" t="s">
        <v>386</v>
      </c>
      <c r="D100" s="8" t="s">
        <v>387</v>
      </c>
      <c r="E100" s="13" t="s">
        <v>139</v>
      </c>
      <c r="F100" s="8" t="s">
        <v>163</v>
      </c>
      <c r="G100" s="8" t="s">
        <v>141</v>
      </c>
      <c r="H100" s="8" t="s">
        <v>388</v>
      </c>
      <c r="I100" s="14"/>
      <c r="J100" s="14"/>
      <c r="K100" s="14"/>
      <c r="L100" s="14"/>
    </row>
    <row r="101" customFormat="false" ht="30" hidden="false" customHeight="true" outlineLevel="0" collapsed="false">
      <c r="A101" s="8" t="s">
        <v>89</v>
      </c>
      <c r="B101" s="8" t="s">
        <v>363</v>
      </c>
      <c r="C101" s="8" t="s">
        <v>389</v>
      </c>
      <c r="D101" s="8" t="s">
        <v>390</v>
      </c>
      <c r="E101" s="15" t="s">
        <v>187</v>
      </c>
      <c r="F101" s="8" t="s">
        <v>140</v>
      </c>
      <c r="G101" s="8" t="s">
        <v>141</v>
      </c>
      <c r="H101" s="8" t="s">
        <v>391</v>
      </c>
      <c r="I101" s="14"/>
      <c r="J101" s="14"/>
      <c r="K101" s="14"/>
      <c r="L101" s="14"/>
    </row>
    <row r="102" customFormat="false" ht="30" hidden="false" customHeight="true" outlineLevel="0" collapsed="false">
      <c r="A102" s="8" t="s">
        <v>93</v>
      </c>
      <c r="B102" s="8" t="s">
        <v>392</v>
      </c>
      <c r="C102" s="8" t="s">
        <v>393</v>
      </c>
      <c r="D102" s="8" t="s">
        <v>394</v>
      </c>
      <c r="E102" s="9" t="s">
        <v>53</v>
      </c>
      <c r="F102" s="8" t="s">
        <v>140</v>
      </c>
      <c r="G102" s="8" t="s">
        <v>141</v>
      </c>
      <c r="H102" s="8" t="s">
        <v>395</v>
      </c>
      <c r="I102" s="14"/>
      <c r="J102" s="14"/>
      <c r="K102" s="14"/>
      <c r="L102" s="14"/>
    </row>
    <row r="103" customFormat="false" ht="30" hidden="false" customHeight="true" outlineLevel="0" collapsed="false">
      <c r="A103" s="8" t="s">
        <v>93</v>
      </c>
      <c r="B103" s="8" t="s">
        <v>392</v>
      </c>
      <c r="C103" s="8" t="s">
        <v>364</v>
      </c>
      <c r="D103" s="8" t="s">
        <v>396</v>
      </c>
      <c r="E103" s="13" t="s">
        <v>139</v>
      </c>
      <c r="F103" s="8" t="s">
        <v>140</v>
      </c>
      <c r="G103" s="8" t="s">
        <v>141</v>
      </c>
      <c r="H103" s="8" t="s">
        <v>397</v>
      </c>
      <c r="I103" s="14"/>
      <c r="J103" s="14"/>
      <c r="K103" s="14"/>
      <c r="L103" s="14"/>
    </row>
    <row r="104" customFormat="false" ht="30" hidden="false" customHeight="true" outlineLevel="0" collapsed="false">
      <c r="A104" s="8" t="s">
        <v>93</v>
      </c>
      <c r="B104" s="8" t="s">
        <v>392</v>
      </c>
      <c r="C104" s="8" t="s">
        <v>398</v>
      </c>
      <c r="D104" s="8" t="s">
        <v>399</v>
      </c>
      <c r="E104" s="9" t="s">
        <v>53</v>
      </c>
      <c r="F104" s="8" t="s">
        <v>147</v>
      </c>
      <c r="G104" s="8" t="s">
        <v>141</v>
      </c>
      <c r="H104" s="8"/>
      <c r="I104" s="14"/>
      <c r="J104" s="14"/>
      <c r="K104" s="14"/>
      <c r="L104" s="14"/>
    </row>
    <row r="105" customFormat="false" ht="30" hidden="false" customHeight="true" outlineLevel="0" collapsed="false">
      <c r="A105" s="8" t="s">
        <v>93</v>
      </c>
      <c r="B105" s="8" t="s">
        <v>392</v>
      </c>
      <c r="C105" s="8" t="s">
        <v>400</v>
      </c>
      <c r="D105" s="8" t="s">
        <v>401</v>
      </c>
      <c r="E105" s="13" t="s">
        <v>139</v>
      </c>
      <c r="F105" s="8" t="s">
        <v>163</v>
      </c>
      <c r="G105" s="8" t="s">
        <v>141</v>
      </c>
      <c r="H105" s="8" t="s">
        <v>402</v>
      </c>
      <c r="I105" s="14"/>
      <c r="J105" s="14"/>
      <c r="K105" s="14"/>
      <c r="L105" s="14"/>
    </row>
    <row r="106" customFormat="false" ht="30" hidden="false" customHeight="true" outlineLevel="0" collapsed="false">
      <c r="A106" s="8" t="s">
        <v>97</v>
      </c>
      <c r="B106" s="8" t="s">
        <v>403</v>
      </c>
      <c r="C106" s="8" t="s">
        <v>404</v>
      </c>
      <c r="D106" s="8" t="s">
        <v>405</v>
      </c>
      <c r="E106" s="13" t="s">
        <v>139</v>
      </c>
      <c r="F106" s="8" t="s">
        <v>140</v>
      </c>
      <c r="G106" s="8" t="s">
        <v>141</v>
      </c>
      <c r="H106" s="8" t="s">
        <v>406</v>
      </c>
      <c r="I106" s="14"/>
      <c r="J106" s="14"/>
      <c r="K106" s="14"/>
      <c r="L106" s="14"/>
    </row>
    <row r="107" customFormat="false" ht="30" hidden="false" customHeight="true" outlineLevel="0" collapsed="false">
      <c r="A107" s="8" t="s">
        <v>97</v>
      </c>
      <c r="B107" s="8" t="s">
        <v>403</v>
      </c>
      <c r="C107" s="8" t="s">
        <v>407</v>
      </c>
      <c r="D107" s="8" t="s">
        <v>408</v>
      </c>
      <c r="E107" s="13" t="s">
        <v>139</v>
      </c>
      <c r="F107" s="8" t="s">
        <v>147</v>
      </c>
      <c r="G107" s="8" t="s">
        <v>141</v>
      </c>
      <c r="H107" s="8"/>
      <c r="I107" s="14"/>
      <c r="J107" s="14"/>
      <c r="K107" s="14"/>
      <c r="L107" s="14"/>
    </row>
    <row r="108" customFormat="false" ht="30" hidden="false" customHeight="true" outlineLevel="0" collapsed="false">
      <c r="A108" s="8" t="s">
        <v>97</v>
      </c>
      <c r="B108" s="8" t="s">
        <v>403</v>
      </c>
      <c r="C108" s="8" t="s">
        <v>409</v>
      </c>
      <c r="D108" s="8" t="s">
        <v>410</v>
      </c>
      <c r="E108" s="13" t="s">
        <v>139</v>
      </c>
      <c r="F108" s="8" t="s">
        <v>147</v>
      </c>
      <c r="G108" s="8" t="s">
        <v>141</v>
      </c>
      <c r="H108" s="8"/>
      <c r="I108" s="14"/>
      <c r="J108" s="14"/>
      <c r="K108" s="14"/>
      <c r="L108" s="14"/>
    </row>
    <row r="109" customFormat="false" ht="30" hidden="false" customHeight="true" outlineLevel="0" collapsed="false">
      <c r="A109" s="8" t="s">
        <v>97</v>
      </c>
      <c r="B109" s="8" t="s">
        <v>403</v>
      </c>
      <c r="C109" s="8" t="s">
        <v>411</v>
      </c>
      <c r="D109" s="8" t="s">
        <v>412</v>
      </c>
      <c r="E109" s="9" t="s">
        <v>53</v>
      </c>
      <c r="F109" s="8" t="s">
        <v>140</v>
      </c>
      <c r="G109" s="8" t="s">
        <v>141</v>
      </c>
      <c r="H109" s="8" t="s">
        <v>413</v>
      </c>
      <c r="I109" s="14"/>
      <c r="J109" s="14"/>
      <c r="K109" s="14"/>
      <c r="L109" s="14"/>
    </row>
    <row r="110" customFormat="false" ht="30" hidden="false" customHeight="true" outlineLevel="0" collapsed="false">
      <c r="A110" s="8" t="s">
        <v>97</v>
      </c>
      <c r="B110" s="8" t="s">
        <v>403</v>
      </c>
      <c r="C110" s="8" t="s">
        <v>414</v>
      </c>
      <c r="D110" s="8" t="s">
        <v>415</v>
      </c>
      <c r="E110" s="13" t="s">
        <v>139</v>
      </c>
      <c r="F110" s="8" t="s">
        <v>140</v>
      </c>
      <c r="G110" s="8" t="s">
        <v>141</v>
      </c>
      <c r="H110" s="8" t="s">
        <v>416</v>
      </c>
      <c r="I110" s="14"/>
      <c r="J110" s="14"/>
      <c r="K110" s="14"/>
      <c r="L110" s="14"/>
    </row>
    <row r="111" customFormat="false" ht="30" hidden="false" customHeight="true" outlineLevel="0" collapsed="false">
      <c r="A111" s="8" t="s">
        <v>97</v>
      </c>
      <c r="B111" s="8" t="s">
        <v>403</v>
      </c>
      <c r="C111" s="8" t="s">
        <v>417</v>
      </c>
      <c r="D111" s="8" t="s">
        <v>418</v>
      </c>
      <c r="E111" s="13" t="s">
        <v>139</v>
      </c>
      <c r="F111" s="8" t="s">
        <v>147</v>
      </c>
      <c r="G111" s="8" t="s">
        <v>141</v>
      </c>
      <c r="H111" s="8"/>
      <c r="I111" s="14"/>
      <c r="J111" s="14"/>
      <c r="K111" s="14"/>
      <c r="L111" s="14"/>
    </row>
    <row r="112" customFormat="false" ht="30" hidden="false" customHeight="true" outlineLevel="0" collapsed="false">
      <c r="A112" s="8" t="s">
        <v>97</v>
      </c>
      <c r="B112" s="8" t="s">
        <v>403</v>
      </c>
      <c r="C112" s="8" t="s">
        <v>419</v>
      </c>
      <c r="D112" s="8" t="s">
        <v>420</v>
      </c>
      <c r="E112" s="13" t="s">
        <v>139</v>
      </c>
      <c r="F112" s="8" t="s">
        <v>147</v>
      </c>
      <c r="G112" s="8" t="s">
        <v>141</v>
      </c>
      <c r="H112" s="8"/>
      <c r="I112" s="14"/>
      <c r="J112" s="14"/>
      <c r="K112" s="14"/>
      <c r="L112" s="14"/>
    </row>
    <row r="113" customFormat="false" ht="30" hidden="false" customHeight="true" outlineLevel="0" collapsed="false">
      <c r="A113" s="8" t="s">
        <v>97</v>
      </c>
      <c r="B113" s="8" t="s">
        <v>403</v>
      </c>
      <c r="C113" s="8" t="s">
        <v>421</v>
      </c>
      <c r="D113" s="8" t="s">
        <v>422</v>
      </c>
      <c r="E113" s="9" t="s">
        <v>53</v>
      </c>
      <c r="F113" s="8" t="s">
        <v>140</v>
      </c>
      <c r="G113" s="8" t="s">
        <v>141</v>
      </c>
      <c r="H113" s="8"/>
      <c r="I113" s="14"/>
      <c r="J113" s="14"/>
      <c r="K113" s="14"/>
      <c r="L113" s="14"/>
    </row>
    <row r="114" customFormat="false" ht="30" hidden="false" customHeight="true" outlineLevel="0" collapsed="false">
      <c r="A114" s="8" t="s">
        <v>97</v>
      </c>
      <c r="B114" s="8" t="s">
        <v>403</v>
      </c>
      <c r="C114" s="8" t="s">
        <v>423</v>
      </c>
      <c r="D114" s="8" t="s">
        <v>424</v>
      </c>
      <c r="E114" s="13" t="s">
        <v>139</v>
      </c>
      <c r="F114" s="8" t="s">
        <v>147</v>
      </c>
      <c r="G114" s="8" t="s">
        <v>141</v>
      </c>
      <c r="H114" s="8" t="s">
        <v>425</v>
      </c>
      <c r="I114" s="14"/>
      <c r="J114" s="14"/>
      <c r="K114" s="14"/>
      <c r="L114" s="14"/>
    </row>
    <row r="115" customFormat="false" ht="30" hidden="false" customHeight="true" outlineLevel="0" collapsed="false">
      <c r="A115" s="8" t="s">
        <v>105</v>
      </c>
      <c r="B115" s="8" t="s">
        <v>426</v>
      </c>
      <c r="C115" s="8" t="s">
        <v>427</v>
      </c>
      <c r="D115" s="8" t="s">
        <v>428</v>
      </c>
      <c r="E115" s="13" t="s">
        <v>139</v>
      </c>
      <c r="F115" s="8" t="s">
        <v>147</v>
      </c>
      <c r="G115" s="8" t="s">
        <v>154</v>
      </c>
      <c r="H115" s="8" t="s">
        <v>429</v>
      </c>
      <c r="I115" s="14"/>
      <c r="J115" s="14"/>
      <c r="K115" s="14"/>
      <c r="L115" s="14"/>
    </row>
    <row r="116" customFormat="false" ht="30" hidden="false" customHeight="true" outlineLevel="0" collapsed="false">
      <c r="A116" s="8" t="s">
        <v>105</v>
      </c>
      <c r="B116" s="8" t="s">
        <v>426</v>
      </c>
      <c r="C116" s="8" t="s">
        <v>430</v>
      </c>
      <c r="D116" s="8" t="s">
        <v>431</v>
      </c>
      <c r="E116" s="13" t="s">
        <v>139</v>
      </c>
      <c r="F116" s="8" t="s">
        <v>147</v>
      </c>
      <c r="G116" s="8" t="s">
        <v>154</v>
      </c>
      <c r="H116" s="8" t="s">
        <v>432</v>
      </c>
      <c r="I116" s="14"/>
      <c r="J116" s="14"/>
      <c r="K116" s="14"/>
      <c r="L116" s="14"/>
    </row>
    <row r="117" customFormat="false" ht="30" hidden="false" customHeight="true" outlineLevel="0" collapsed="false">
      <c r="A117" s="8" t="s">
        <v>105</v>
      </c>
      <c r="B117" s="8" t="s">
        <v>426</v>
      </c>
      <c r="C117" s="8" t="s">
        <v>433</v>
      </c>
      <c r="D117" s="8" t="s">
        <v>434</v>
      </c>
      <c r="E117" s="9" t="s">
        <v>53</v>
      </c>
      <c r="F117" s="8" t="s">
        <v>147</v>
      </c>
      <c r="G117" s="8" t="s">
        <v>154</v>
      </c>
      <c r="H117" s="8" t="s">
        <v>432</v>
      </c>
      <c r="I117" s="14"/>
      <c r="J117" s="14"/>
      <c r="K117" s="14"/>
      <c r="L117" s="14"/>
    </row>
    <row r="118" customFormat="false" ht="30" hidden="false" customHeight="true" outlineLevel="0" collapsed="false">
      <c r="A118" s="8" t="s">
        <v>105</v>
      </c>
      <c r="B118" s="8" t="s">
        <v>426</v>
      </c>
      <c r="C118" s="8" t="s">
        <v>435</v>
      </c>
      <c r="D118" s="8" t="s">
        <v>436</v>
      </c>
      <c r="E118" s="13" t="s">
        <v>139</v>
      </c>
      <c r="F118" s="8" t="s">
        <v>147</v>
      </c>
      <c r="G118" s="8" t="s">
        <v>154</v>
      </c>
      <c r="H118" s="8" t="s">
        <v>432</v>
      </c>
      <c r="I118" s="14"/>
      <c r="J118" s="14"/>
      <c r="K118" s="14"/>
      <c r="L118" s="14"/>
    </row>
    <row r="119" customFormat="false" ht="30" hidden="false" customHeight="true" outlineLevel="0" collapsed="false">
      <c r="A119" s="8" t="s">
        <v>101</v>
      </c>
      <c r="B119" s="8" t="s">
        <v>437</v>
      </c>
      <c r="C119" s="8" t="s">
        <v>438</v>
      </c>
      <c r="D119" s="8" t="s">
        <v>439</v>
      </c>
      <c r="E119" s="13" t="s">
        <v>139</v>
      </c>
      <c r="F119" s="8" t="s">
        <v>140</v>
      </c>
      <c r="G119" s="8" t="s">
        <v>141</v>
      </c>
      <c r="H119" s="8"/>
      <c r="I119" s="14"/>
      <c r="J119" s="14"/>
      <c r="K119" s="14"/>
      <c r="L119" s="14"/>
    </row>
    <row r="120" customFormat="false" ht="30" hidden="false" customHeight="true" outlineLevel="0" collapsed="false">
      <c r="A120" s="8" t="s">
        <v>101</v>
      </c>
      <c r="B120" s="8" t="s">
        <v>437</v>
      </c>
      <c r="C120" s="8" t="s">
        <v>440</v>
      </c>
      <c r="D120" s="8" t="s">
        <v>441</v>
      </c>
      <c r="E120" s="13" t="s">
        <v>139</v>
      </c>
      <c r="F120" s="8" t="s">
        <v>140</v>
      </c>
      <c r="G120" s="8" t="s">
        <v>141</v>
      </c>
      <c r="H120" s="8"/>
      <c r="I120" s="14"/>
      <c r="J120" s="14"/>
      <c r="K120" s="14"/>
      <c r="L120" s="14"/>
    </row>
    <row r="121" customFormat="false" ht="30" hidden="false" customHeight="true" outlineLevel="0" collapsed="false">
      <c r="A121" s="8" t="s">
        <v>101</v>
      </c>
      <c r="B121" s="8" t="s">
        <v>437</v>
      </c>
      <c r="C121" s="8" t="s">
        <v>442</v>
      </c>
      <c r="D121" s="8" t="s">
        <v>443</v>
      </c>
      <c r="E121" s="9" t="s">
        <v>53</v>
      </c>
      <c r="F121" s="8" t="s">
        <v>140</v>
      </c>
      <c r="G121" s="8" t="s">
        <v>141</v>
      </c>
      <c r="H121" s="8" t="s">
        <v>444</v>
      </c>
      <c r="I121" s="14"/>
      <c r="J121" s="14"/>
      <c r="K121" s="14"/>
      <c r="L121" s="14"/>
    </row>
    <row r="122" customFormat="false" ht="30" hidden="false" customHeight="true" outlineLevel="0" collapsed="false">
      <c r="A122" s="8" t="s">
        <v>101</v>
      </c>
      <c r="B122" s="8" t="s">
        <v>437</v>
      </c>
      <c r="C122" s="8" t="s">
        <v>445</v>
      </c>
      <c r="D122" s="8" t="s">
        <v>446</v>
      </c>
      <c r="E122" s="9" t="s">
        <v>53</v>
      </c>
      <c r="F122" s="8" t="s">
        <v>140</v>
      </c>
      <c r="G122" s="8" t="s">
        <v>141</v>
      </c>
      <c r="H122" s="8"/>
      <c r="I122" s="14"/>
      <c r="J122" s="14"/>
      <c r="K122" s="14"/>
      <c r="L122" s="14"/>
    </row>
    <row r="123" customFormat="false" ht="30" hidden="false" customHeight="true" outlineLevel="0" collapsed="false">
      <c r="A123" s="8" t="s">
        <v>101</v>
      </c>
      <c r="B123" s="8" t="s">
        <v>437</v>
      </c>
      <c r="C123" s="8" t="s">
        <v>447</v>
      </c>
      <c r="D123" s="8" t="s">
        <v>448</v>
      </c>
      <c r="E123" s="13" t="s">
        <v>139</v>
      </c>
      <c r="F123" s="8" t="s">
        <v>147</v>
      </c>
      <c r="G123" s="8" t="s">
        <v>141</v>
      </c>
      <c r="H123" s="8"/>
      <c r="I123" s="14"/>
      <c r="J123" s="14"/>
      <c r="K123" s="14"/>
      <c r="L123" s="14"/>
    </row>
    <row r="124" customFormat="false" ht="30" hidden="false" customHeight="true" outlineLevel="0" collapsed="false">
      <c r="A124" s="8" t="s">
        <v>101</v>
      </c>
      <c r="B124" s="8" t="s">
        <v>437</v>
      </c>
      <c r="C124" s="8" t="s">
        <v>449</v>
      </c>
      <c r="D124" s="8" t="s">
        <v>450</v>
      </c>
      <c r="E124" s="13" t="s">
        <v>139</v>
      </c>
      <c r="F124" s="8" t="s">
        <v>140</v>
      </c>
      <c r="G124" s="8" t="s">
        <v>141</v>
      </c>
      <c r="H124" s="8" t="s">
        <v>451</v>
      </c>
      <c r="I124" s="14"/>
      <c r="J124" s="14"/>
      <c r="K124" s="14"/>
      <c r="L124" s="14"/>
    </row>
    <row r="125" customFormat="false" ht="30" hidden="false" customHeight="true" outlineLevel="0" collapsed="false">
      <c r="A125" s="8" t="s">
        <v>101</v>
      </c>
      <c r="B125" s="8" t="s">
        <v>437</v>
      </c>
      <c r="C125" s="8" t="s">
        <v>452</v>
      </c>
      <c r="D125" s="8" t="s">
        <v>453</v>
      </c>
      <c r="E125" s="13" t="s">
        <v>139</v>
      </c>
      <c r="F125" s="8" t="s">
        <v>147</v>
      </c>
      <c r="G125" s="8" t="s">
        <v>141</v>
      </c>
      <c r="H125" s="8"/>
      <c r="I125" s="14"/>
      <c r="J125" s="14"/>
      <c r="K125" s="14"/>
      <c r="L125" s="14"/>
    </row>
    <row r="126" customFormat="false" ht="30" hidden="false" customHeight="true" outlineLevel="0" collapsed="false">
      <c r="A126" s="8" t="s">
        <v>101</v>
      </c>
      <c r="B126" s="8" t="s">
        <v>437</v>
      </c>
      <c r="C126" s="8" t="s">
        <v>454</v>
      </c>
      <c r="D126" s="8" t="s">
        <v>455</v>
      </c>
      <c r="E126" s="13" t="s">
        <v>139</v>
      </c>
      <c r="F126" s="8" t="s">
        <v>147</v>
      </c>
      <c r="G126" s="8" t="s">
        <v>141</v>
      </c>
      <c r="H126" s="8"/>
      <c r="I126" s="14"/>
      <c r="J126" s="14"/>
      <c r="K126" s="14"/>
      <c r="L126" s="14"/>
    </row>
    <row r="127" customFormat="false" ht="30" hidden="false" customHeight="true" outlineLevel="0" collapsed="false">
      <c r="A127" s="8" t="s">
        <v>101</v>
      </c>
      <c r="B127" s="8" t="s">
        <v>437</v>
      </c>
      <c r="C127" s="8" t="s">
        <v>456</v>
      </c>
      <c r="D127" s="8" t="s">
        <v>457</v>
      </c>
      <c r="E127" s="9" t="s">
        <v>53</v>
      </c>
      <c r="F127" s="8" t="s">
        <v>147</v>
      </c>
      <c r="G127" s="8" t="s">
        <v>141</v>
      </c>
      <c r="H127" s="8" t="s">
        <v>458</v>
      </c>
      <c r="I127" s="14"/>
      <c r="J127" s="14"/>
      <c r="K127" s="14"/>
      <c r="L127" s="14"/>
    </row>
    <row r="128" customFormat="false" ht="30" hidden="false" customHeight="true" outlineLevel="0" collapsed="false">
      <c r="A128" s="8" t="s">
        <v>101</v>
      </c>
      <c r="B128" s="8" t="s">
        <v>437</v>
      </c>
      <c r="C128" s="8" t="s">
        <v>459</v>
      </c>
      <c r="D128" s="8" t="s">
        <v>460</v>
      </c>
      <c r="E128" s="15" t="s">
        <v>187</v>
      </c>
      <c r="F128" s="8" t="s">
        <v>140</v>
      </c>
      <c r="G128" s="8" t="s">
        <v>141</v>
      </c>
      <c r="H128" s="8" t="s">
        <v>461</v>
      </c>
      <c r="I128" s="14"/>
      <c r="J128" s="14"/>
      <c r="K128" s="14"/>
      <c r="L128" s="14"/>
    </row>
    <row r="129" customFormat="false" ht="30" hidden="false" customHeight="true" outlineLevel="0" collapsed="false">
      <c r="A129" s="8" t="s">
        <v>101</v>
      </c>
      <c r="B129" s="8" t="s">
        <v>437</v>
      </c>
      <c r="C129" s="8" t="s">
        <v>462</v>
      </c>
      <c r="D129" s="8" t="s">
        <v>463</v>
      </c>
      <c r="E129" s="15" t="s">
        <v>187</v>
      </c>
      <c r="F129" s="8" t="s">
        <v>147</v>
      </c>
      <c r="G129" s="8" t="s">
        <v>141</v>
      </c>
      <c r="H129" s="8"/>
      <c r="I129" s="14"/>
      <c r="J129" s="14"/>
      <c r="K129" s="14"/>
      <c r="L129" s="14"/>
    </row>
    <row r="130" customFormat="false" ht="30" hidden="false" customHeight="true" outlineLevel="0" collapsed="false">
      <c r="A130" s="8" t="s">
        <v>101</v>
      </c>
      <c r="B130" s="8" t="s">
        <v>437</v>
      </c>
      <c r="C130" s="8" t="s">
        <v>464</v>
      </c>
      <c r="D130" s="8" t="s">
        <v>465</v>
      </c>
      <c r="E130" s="13" t="s">
        <v>139</v>
      </c>
      <c r="F130" s="8" t="s">
        <v>163</v>
      </c>
      <c r="G130" s="8" t="s">
        <v>141</v>
      </c>
      <c r="H130" s="8" t="s">
        <v>466</v>
      </c>
      <c r="I130" s="14"/>
      <c r="J130" s="14"/>
      <c r="K130" s="14"/>
      <c r="L130" s="14"/>
    </row>
    <row r="131" customFormat="false" ht="30" hidden="false" customHeight="true" outlineLevel="0" collapsed="false">
      <c r="A131" s="8" t="s">
        <v>109</v>
      </c>
      <c r="B131" s="8" t="s">
        <v>467</v>
      </c>
      <c r="C131" s="8" t="s">
        <v>468</v>
      </c>
      <c r="D131" s="8" t="s">
        <v>469</v>
      </c>
      <c r="E131" s="9" t="s">
        <v>53</v>
      </c>
      <c r="F131" s="8" t="s">
        <v>140</v>
      </c>
      <c r="G131" s="8" t="s">
        <v>154</v>
      </c>
      <c r="H131" s="8" t="s">
        <v>470</v>
      </c>
      <c r="I131" s="14"/>
      <c r="J131" s="14"/>
      <c r="K131" s="14"/>
      <c r="L131" s="14"/>
    </row>
    <row r="132" customFormat="false" ht="30" hidden="false" customHeight="true" outlineLevel="0" collapsed="false">
      <c r="A132" s="8" t="s">
        <v>109</v>
      </c>
      <c r="B132" s="8" t="s">
        <v>467</v>
      </c>
      <c r="C132" s="8" t="s">
        <v>471</v>
      </c>
      <c r="D132" s="8" t="s">
        <v>472</v>
      </c>
      <c r="E132" s="9" t="s">
        <v>53</v>
      </c>
      <c r="F132" s="8" t="s">
        <v>147</v>
      </c>
      <c r="G132" s="8" t="s">
        <v>154</v>
      </c>
      <c r="H132" s="8" t="s">
        <v>473</v>
      </c>
      <c r="I132" s="14"/>
      <c r="J132" s="14"/>
      <c r="K132" s="14"/>
      <c r="L132" s="14"/>
    </row>
    <row r="133" customFormat="false" ht="30" hidden="false" customHeight="true" outlineLevel="0" collapsed="false">
      <c r="A133" s="8" t="s">
        <v>114</v>
      </c>
      <c r="B133" s="8" t="s">
        <v>474</v>
      </c>
      <c r="C133" s="8" t="s">
        <v>475</v>
      </c>
      <c r="D133" s="8" t="s">
        <v>476</v>
      </c>
      <c r="E133" s="13" t="s">
        <v>139</v>
      </c>
      <c r="F133" s="8" t="s">
        <v>140</v>
      </c>
      <c r="G133" s="8" t="s">
        <v>141</v>
      </c>
      <c r="H133" s="8" t="s">
        <v>477</v>
      </c>
      <c r="I133" s="14"/>
      <c r="J133" s="14"/>
      <c r="K133" s="14"/>
      <c r="L133" s="14"/>
    </row>
    <row r="134" customFormat="false" ht="30" hidden="false" customHeight="true" outlineLevel="0" collapsed="false">
      <c r="A134" s="8" t="s">
        <v>114</v>
      </c>
      <c r="B134" s="8" t="s">
        <v>474</v>
      </c>
      <c r="C134" s="8" t="s">
        <v>478</v>
      </c>
      <c r="D134" s="8" t="s">
        <v>479</v>
      </c>
      <c r="E134" s="13" t="s">
        <v>139</v>
      </c>
      <c r="F134" s="8" t="s">
        <v>140</v>
      </c>
      <c r="G134" s="8" t="s">
        <v>141</v>
      </c>
      <c r="H134" s="8"/>
      <c r="I134" s="14"/>
      <c r="J134" s="14"/>
      <c r="K134" s="14"/>
      <c r="L134" s="14"/>
    </row>
    <row r="135" customFormat="false" ht="30" hidden="false" customHeight="true" outlineLevel="0" collapsed="false">
      <c r="A135" s="8" t="s">
        <v>114</v>
      </c>
      <c r="B135" s="8" t="s">
        <v>474</v>
      </c>
      <c r="C135" s="8" t="s">
        <v>480</v>
      </c>
      <c r="D135" s="8" t="s">
        <v>481</v>
      </c>
      <c r="E135" s="13" t="s">
        <v>139</v>
      </c>
      <c r="F135" s="8" t="s">
        <v>140</v>
      </c>
      <c r="G135" s="8" t="s">
        <v>141</v>
      </c>
      <c r="H135" s="8"/>
      <c r="I135" s="14"/>
      <c r="J135" s="14"/>
      <c r="K135" s="14"/>
      <c r="L135" s="14"/>
    </row>
    <row r="136" customFormat="false" ht="30" hidden="false" customHeight="true" outlineLevel="0" collapsed="false">
      <c r="A136" s="8" t="s">
        <v>114</v>
      </c>
      <c r="B136" s="8" t="s">
        <v>474</v>
      </c>
      <c r="C136" s="8" t="s">
        <v>482</v>
      </c>
      <c r="D136" s="8" t="s">
        <v>483</v>
      </c>
      <c r="E136" s="13" t="s">
        <v>139</v>
      </c>
      <c r="F136" s="8" t="s">
        <v>140</v>
      </c>
      <c r="G136" s="8" t="s">
        <v>141</v>
      </c>
      <c r="H136" s="8"/>
      <c r="I136" s="14"/>
      <c r="J136" s="14"/>
      <c r="K136" s="14"/>
      <c r="L136" s="14"/>
    </row>
    <row r="137" customFormat="false" ht="30" hidden="false" customHeight="true" outlineLevel="0" collapsed="false">
      <c r="A137" s="8" t="s">
        <v>114</v>
      </c>
      <c r="B137" s="8" t="s">
        <v>474</v>
      </c>
      <c r="C137" s="8" t="s">
        <v>484</v>
      </c>
      <c r="D137" s="8" t="s">
        <v>485</v>
      </c>
      <c r="E137" s="9" t="s">
        <v>53</v>
      </c>
      <c r="F137" s="8" t="s">
        <v>140</v>
      </c>
      <c r="G137" s="8" t="s">
        <v>141</v>
      </c>
      <c r="H137" s="8" t="s">
        <v>486</v>
      </c>
      <c r="I137" s="14"/>
      <c r="J137" s="14"/>
      <c r="K137" s="14"/>
      <c r="L137" s="14"/>
    </row>
    <row r="138" customFormat="false" ht="30" hidden="false" customHeight="true" outlineLevel="0" collapsed="false">
      <c r="A138" s="8" t="s">
        <v>114</v>
      </c>
      <c r="B138" s="8" t="s">
        <v>474</v>
      </c>
      <c r="C138" s="8" t="s">
        <v>487</v>
      </c>
      <c r="D138" s="8" t="s">
        <v>488</v>
      </c>
      <c r="E138" s="13" t="s">
        <v>139</v>
      </c>
      <c r="F138" s="8" t="s">
        <v>140</v>
      </c>
      <c r="G138" s="8" t="s">
        <v>141</v>
      </c>
      <c r="H138" s="8"/>
      <c r="I138" s="14"/>
      <c r="J138" s="14"/>
      <c r="K138" s="14"/>
      <c r="L138" s="14"/>
    </row>
    <row r="139" customFormat="false" ht="30" hidden="false" customHeight="true" outlineLevel="0" collapsed="false">
      <c r="A139" s="8" t="s">
        <v>114</v>
      </c>
      <c r="B139" s="8" t="s">
        <v>474</v>
      </c>
      <c r="C139" s="8" t="s">
        <v>489</v>
      </c>
      <c r="D139" s="8" t="s">
        <v>490</v>
      </c>
      <c r="E139" s="13" t="s">
        <v>139</v>
      </c>
      <c r="F139" s="8" t="s">
        <v>140</v>
      </c>
      <c r="G139" s="16" t="s">
        <v>252</v>
      </c>
      <c r="H139" s="8" t="s">
        <v>491</v>
      </c>
      <c r="I139" s="14"/>
      <c r="J139" s="14"/>
      <c r="K139" s="14"/>
      <c r="L139" s="14"/>
    </row>
    <row r="140" customFormat="false" ht="30" hidden="false" customHeight="true" outlineLevel="0" collapsed="false">
      <c r="A140" s="8" t="s">
        <v>114</v>
      </c>
      <c r="B140" s="8" t="s">
        <v>474</v>
      </c>
      <c r="C140" s="8" t="s">
        <v>492</v>
      </c>
      <c r="D140" s="8" t="s">
        <v>493</v>
      </c>
      <c r="E140" s="13" t="s">
        <v>139</v>
      </c>
      <c r="F140" s="8" t="s">
        <v>140</v>
      </c>
      <c r="G140" s="16" t="s">
        <v>252</v>
      </c>
      <c r="H140" s="8" t="s">
        <v>494</v>
      </c>
      <c r="I140" s="14"/>
      <c r="J140" s="14"/>
      <c r="K140" s="14"/>
      <c r="L140" s="14"/>
    </row>
    <row r="141" customFormat="false" ht="30" hidden="false" customHeight="true" outlineLevel="0" collapsed="false">
      <c r="A141" s="8" t="s">
        <v>114</v>
      </c>
      <c r="B141" s="8" t="s">
        <v>474</v>
      </c>
      <c r="C141" s="8" t="s">
        <v>495</v>
      </c>
      <c r="D141" s="8" t="s">
        <v>496</v>
      </c>
      <c r="E141" s="13" t="s">
        <v>139</v>
      </c>
      <c r="F141" s="8" t="s">
        <v>147</v>
      </c>
      <c r="G141" s="16" t="s">
        <v>252</v>
      </c>
      <c r="H141" s="8" t="s">
        <v>494</v>
      </c>
      <c r="I141" s="14"/>
      <c r="J141" s="14"/>
      <c r="K141" s="14"/>
      <c r="L141" s="14"/>
    </row>
    <row r="142" customFormat="false" ht="30" hidden="false" customHeight="true" outlineLevel="0" collapsed="false">
      <c r="A142" s="8" t="s">
        <v>114</v>
      </c>
      <c r="B142" s="8" t="s">
        <v>474</v>
      </c>
      <c r="C142" s="8" t="s">
        <v>497</v>
      </c>
      <c r="D142" s="8" t="s">
        <v>498</v>
      </c>
      <c r="E142" s="13" t="s">
        <v>139</v>
      </c>
      <c r="F142" s="8" t="s">
        <v>147</v>
      </c>
      <c r="G142" s="16" t="s">
        <v>252</v>
      </c>
      <c r="H142" s="8" t="s">
        <v>494</v>
      </c>
      <c r="I142" s="14"/>
      <c r="J142" s="14"/>
      <c r="K142" s="14"/>
      <c r="L142" s="14"/>
    </row>
    <row r="143" customFormat="false" ht="30" hidden="false" customHeight="true" outlineLevel="0" collapsed="false">
      <c r="A143" s="8" t="s">
        <v>114</v>
      </c>
      <c r="B143" s="8" t="s">
        <v>474</v>
      </c>
      <c r="C143" s="8" t="s">
        <v>499</v>
      </c>
      <c r="D143" s="8" t="s">
        <v>500</v>
      </c>
      <c r="E143" s="13" t="s">
        <v>139</v>
      </c>
      <c r="F143" s="8" t="s">
        <v>147</v>
      </c>
      <c r="G143" s="16" t="s">
        <v>252</v>
      </c>
      <c r="H143" s="8" t="s">
        <v>494</v>
      </c>
      <c r="I143" s="14"/>
      <c r="J143" s="14"/>
      <c r="K143" s="14"/>
      <c r="L143" s="14"/>
    </row>
    <row r="144" customFormat="false" ht="30" hidden="false" customHeight="true" outlineLevel="0" collapsed="false">
      <c r="A144" s="8" t="s">
        <v>114</v>
      </c>
      <c r="B144" s="8" t="s">
        <v>474</v>
      </c>
      <c r="C144" s="8" t="s">
        <v>501</v>
      </c>
      <c r="D144" s="8" t="s">
        <v>502</v>
      </c>
      <c r="E144" s="13" t="s">
        <v>139</v>
      </c>
      <c r="F144" s="8" t="s">
        <v>163</v>
      </c>
      <c r="G144" s="16" t="s">
        <v>252</v>
      </c>
      <c r="H144" s="8" t="s">
        <v>494</v>
      </c>
      <c r="I144" s="14"/>
      <c r="J144" s="14"/>
      <c r="K144" s="14"/>
      <c r="L144" s="14"/>
    </row>
    <row r="145" customFormat="false" ht="30" hidden="false" customHeight="true" outlineLevel="0" collapsed="false">
      <c r="A145" s="8" t="s">
        <v>114</v>
      </c>
      <c r="B145" s="8" t="s">
        <v>474</v>
      </c>
      <c r="C145" s="8" t="s">
        <v>503</v>
      </c>
      <c r="D145" s="8" t="s">
        <v>504</v>
      </c>
      <c r="E145" s="13" t="s">
        <v>139</v>
      </c>
      <c r="F145" s="8" t="s">
        <v>147</v>
      </c>
      <c r="G145" s="16" t="s">
        <v>252</v>
      </c>
      <c r="H145" s="8" t="s">
        <v>505</v>
      </c>
      <c r="I145" s="14"/>
      <c r="J145" s="14"/>
      <c r="K145" s="14"/>
      <c r="L145" s="14"/>
    </row>
    <row r="146" customFormat="false" ht="30" hidden="false" customHeight="true" outlineLevel="0" collapsed="false">
      <c r="A146" s="8" t="s">
        <v>114</v>
      </c>
      <c r="B146" s="8" t="s">
        <v>506</v>
      </c>
      <c r="C146" s="8" t="s">
        <v>507</v>
      </c>
      <c r="D146" s="8" t="s">
        <v>508</v>
      </c>
      <c r="E146" s="13" t="s">
        <v>139</v>
      </c>
      <c r="F146" s="8" t="s">
        <v>140</v>
      </c>
      <c r="G146" s="8" t="s">
        <v>141</v>
      </c>
      <c r="H146" s="8"/>
      <c r="I146" s="14"/>
      <c r="J146" s="14"/>
      <c r="K146" s="14"/>
      <c r="L146" s="14"/>
    </row>
    <row r="147" customFormat="false" ht="30" hidden="false" customHeight="true" outlineLevel="0" collapsed="false">
      <c r="A147" s="8" t="s">
        <v>114</v>
      </c>
      <c r="B147" s="8" t="s">
        <v>506</v>
      </c>
      <c r="C147" s="8" t="s">
        <v>509</v>
      </c>
      <c r="D147" s="8" t="s">
        <v>510</v>
      </c>
      <c r="E147" s="13" t="s">
        <v>139</v>
      </c>
      <c r="F147" s="8" t="s">
        <v>140</v>
      </c>
      <c r="G147" s="8" t="s">
        <v>141</v>
      </c>
      <c r="H147" s="8" t="s">
        <v>511</v>
      </c>
      <c r="I147" s="14"/>
      <c r="J147" s="14"/>
      <c r="K147" s="14"/>
      <c r="L147" s="14"/>
    </row>
    <row r="148" customFormat="false" ht="30" hidden="false" customHeight="true" outlineLevel="0" collapsed="false">
      <c r="A148" s="8" t="s">
        <v>114</v>
      </c>
      <c r="B148" s="8" t="s">
        <v>506</v>
      </c>
      <c r="C148" s="8" t="s">
        <v>512</v>
      </c>
      <c r="D148" s="8" t="s">
        <v>513</v>
      </c>
      <c r="E148" s="13" t="s">
        <v>139</v>
      </c>
      <c r="F148" s="8" t="s">
        <v>140</v>
      </c>
      <c r="G148" s="8" t="s">
        <v>141</v>
      </c>
      <c r="H148" s="8" t="s">
        <v>514</v>
      </c>
      <c r="I148" s="14"/>
      <c r="J148" s="14"/>
      <c r="K148" s="14"/>
      <c r="L148" s="14"/>
    </row>
    <row r="149" customFormat="false" ht="30" hidden="false" customHeight="true" outlineLevel="0" collapsed="false">
      <c r="A149" s="8" t="s">
        <v>114</v>
      </c>
      <c r="B149" s="8" t="s">
        <v>506</v>
      </c>
      <c r="C149" s="8" t="s">
        <v>515</v>
      </c>
      <c r="D149" s="8" t="s">
        <v>516</v>
      </c>
      <c r="E149" s="13" t="s">
        <v>139</v>
      </c>
      <c r="F149" s="8" t="s">
        <v>147</v>
      </c>
      <c r="G149" s="8" t="s">
        <v>141</v>
      </c>
      <c r="H149" s="8"/>
      <c r="I149" s="14"/>
      <c r="J149" s="14"/>
      <c r="K149" s="14"/>
      <c r="L149" s="14"/>
    </row>
    <row r="150" customFormat="false" ht="30" hidden="false" customHeight="true" outlineLevel="0" collapsed="false">
      <c r="A150" s="8" t="s">
        <v>114</v>
      </c>
      <c r="B150" s="8" t="s">
        <v>506</v>
      </c>
      <c r="C150" s="8" t="s">
        <v>517</v>
      </c>
      <c r="D150" s="8" t="s">
        <v>518</v>
      </c>
      <c r="E150" s="9" t="s">
        <v>53</v>
      </c>
      <c r="F150" s="8" t="s">
        <v>140</v>
      </c>
      <c r="G150" s="8" t="s">
        <v>141</v>
      </c>
      <c r="H150" s="8"/>
      <c r="I150" s="14"/>
      <c r="J150" s="14"/>
      <c r="K150" s="14"/>
      <c r="L150" s="14"/>
    </row>
    <row r="151" customFormat="false" ht="30" hidden="false" customHeight="true" outlineLevel="0" collapsed="false">
      <c r="A151" s="8" t="s">
        <v>114</v>
      </c>
      <c r="B151" s="8" t="s">
        <v>506</v>
      </c>
      <c r="C151" s="8" t="s">
        <v>519</v>
      </c>
      <c r="D151" s="8" t="s">
        <v>520</v>
      </c>
      <c r="E151" s="9" t="s">
        <v>53</v>
      </c>
      <c r="F151" s="8" t="s">
        <v>147</v>
      </c>
      <c r="G151" s="8" t="s">
        <v>141</v>
      </c>
      <c r="H151" s="8"/>
      <c r="I151" s="14"/>
      <c r="J151" s="14"/>
      <c r="K151" s="14"/>
      <c r="L151" s="14"/>
    </row>
    <row r="152" customFormat="false" ht="30" hidden="false" customHeight="true" outlineLevel="0" collapsed="false">
      <c r="A152" s="8" t="s">
        <v>114</v>
      </c>
      <c r="B152" s="8" t="s">
        <v>506</v>
      </c>
      <c r="C152" s="8" t="s">
        <v>521</v>
      </c>
      <c r="D152" s="8" t="s">
        <v>522</v>
      </c>
      <c r="E152" s="13" t="s">
        <v>139</v>
      </c>
      <c r="F152" s="8" t="s">
        <v>147</v>
      </c>
      <c r="G152" s="8" t="s">
        <v>141</v>
      </c>
      <c r="H152" s="8" t="s">
        <v>523</v>
      </c>
      <c r="I152" s="14"/>
      <c r="J152" s="14"/>
      <c r="K152" s="14"/>
      <c r="L152" s="14"/>
    </row>
    <row r="153" customFormat="false" ht="30" hidden="false" customHeight="true" outlineLevel="0" collapsed="false">
      <c r="A153" s="8" t="s">
        <v>114</v>
      </c>
      <c r="B153" s="8" t="s">
        <v>506</v>
      </c>
      <c r="C153" s="8" t="s">
        <v>524</v>
      </c>
      <c r="D153" s="8" t="s">
        <v>525</v>
      </c>
      <c r="E153" s="13" t="s">
        <v>139</v>
      </c>
      <c r="F153" s="8" t="s">
        <v>163</v>
      </c>
      <c r="G153" s="8" t="s">
        <v>141</v>
      </c>
      <c r="H153" s="8"/>
      <c r="I153" s="14"/>
      <c r="J153" s="14"/>
      <c r="K153" s="14"/>
      <c r="L153" s="14"/>
    </row>
    <row r="154" customFormat="false" ht="30" hidden="false" customHeight="true" outlineLevel="0" collapsed="false">
      <c r="A154" s="8" t="s">
        <v>114</v>
      </c>
      <c r="B154" s="8" t="s">
        <v>506</v>
      </c>
      <c r="C154" s="8" t="s">
        <v>526</v>
      </c>
      <c r="D154" s="8" t="s">
        <v>527</v>
      </c>
      <c r="E154" s="13" t="s">
        <v>139</v>
      </c>
      <c r="F154" s="8" t="s">
        <v>163</v>
      </c>
      <c r="G154" s="8" t="s">
        <v>141</v>
      </c>
      <c r="H154" s="8"/>
      <c r="I154" s="14"/>
      <c r="J154" s="14"/>
      <c r="K154" s="14"/>
      <c r="L154" s="14"/>
    </row>
    <row r="155" customFormat="false" ht="30" hidden="false" customHeight="true" outlineLevel="0" collapsed="false">
      <c r="A155" s="8" t="s">
        <v>118</v>
      </c>
      <c r="B155" s="8" t="s">
        <v>528</v>
      </c>
      <c r="C155" s="8" t="s">
        <v>529</v>
      </c>
      <c r="D155" s="8" t="s">
        <v>530</v>
      </c>
      <c r="E155" s="12" t="s">
        <v>121</v>
      </c>
      <c r="F155" s="8" t="s">
        <v>140</v>
      </c>
      <c r="G155" s="8" t="s">
        <v>154</v>
      </c>
      <c r="H155" s="8" t="s">
        <v>531</v>
      </c>
      <c r="I155" s="14"/>
      <c r="J155" s="14"/>
      <c r="K155" s="14"/>
      <c r="L155" s="14"/>
    </row>
  </sheetData>
  <autoFilter ref="A4:L155"/>
  <mergeCells count="1">
    <mergeCell ref="A2:L2"/>
  </mergeCells>
  <dataValidations count="2">
    <dataValidation allowBlank="true" errorStyle="stop" operator="between" showDropDown="false" showErrorMessage="false" showInputMessage="false" sqref="I5:I155" type="list">
      <formula1>"Y,N"</formula1>
      <formula2>0</formula2>
    </dataValidation>
    <dataValidation allowBlank="true" errorStyle="stop" operator="between" showDropDown="false" showErrorMessage="false" showInputMessage="false" sqref="K5:K155" type="list">
      <formula1>"Fiori - full,Fiori - partial,Fiori - none,GUI for HTML,Data layer - not a UI question,Out of scope,Pending"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50"/>
    <col collapsed="false" customWidth="true" hidden="false" outlineLevel="0" max="4" min="4" style="0" width="46"/>
    <col collapsed="false" customWidth="true" hidden="false" outlineLevel="0" max="5" min="5" style="0" width="76"/>
  </cols>
  <sheetData>
    <row r="1" customFormat="false" ht="16.15" hidden="false" customHeight="false" outlineLevel="0" collapsed="false">
      <c r="A1" s="1" t="s">
        <v>532</v>
      </c>
    </row>
    <row r="2" customFormat="false" ht="30" hidden="false" customHeight="true" outlineLevel="0" collapsed="false">
      <c r="A2" s="6" t="s">
        <v>533</v>
      </c>
      <c r="B2" s="6"/>
      <c r="C2" s="6"/>
      <c r="D2" s="6"/>
      <c r="E2" s="6"/>
    </row>
    <row r="4" customFormat="false" ht="31.5" hidden="false" customHeight="true" outlineLevel="0" collapsed="false">
      <c r="A4" s="7" t="s">
        <v>43</v>
      </c>
      <c r="B4" s="7" t="s">
        <v>534</v>
      </c>
      <c r="C4" s="7" t="s">
        <v>535</v>
      </c>
      <c r="D4" s="7" t="s">
        <v>536</v>
      </c>
      <c r="E4" s="7" t="s">
        <v>537</v>
      </c>
    </row>
    <row r="5" customFormat="false" ht="55.5" hidden="false" customHeight="true" outlineLevel="0" collapsed="false">
      <c r="A5" s="8" t="s">
        <v>50</v>
      </c>
      <c r="B5" s="8" t="s">
        <v>136</v>
      </c>
      <c r="C5" s="8" t="s">
        <v>538</v>
      </c>
      <c r="D5" s="8" t="s">
        <v>539</v>
      </c>
      <c r="E5" s="8" t="s">
        <v>540</v>
      </c>
    </row>
    <row r="6" customFormat="false" ht="55.5" hidden="false" customHeight="true" outlineLevel="0" collapsed="false">
      <c r="A6" s="8" t="s">
        <v>72</v>
      </c>
      <c r="B6" s="8" t="s">
        <v>541</v>
      </c>
      <c r="C6" s="8" t="s">
        <v>542</v>
      </c>
      <c r="D6" s="8" t="s">
        <v>543</v>
      </c>
      <c r="E6" s="8" t="s">
        <v>544</v>
      </c>
    </row>
    <row r="7" customFormat="false" ht="55.5" hidden="false" customHeight="true" outlineLevel="0" collapsed="false">
      <c r="A7" s="8" t="s">
        <v>114</v>
      </c>
      <c r="B7" s="8" t="s">
        <v>545</v>
      </c>
      <c r="C7" s="8" t="s">
        <v>546</v>
      </c>
      <c r="D7" s="8" t="s">
        <v>547</v>
      </c>
      <c r="E7" s="8" t="s">
        <v>548</v>
      </c>
    </row>
    <row r="8" customFormat="false" ht="55.5" hidden="false" customHeight="true" outlineLevel="0" collapsed="false">
      <c r="A8" s="8" t="s">
        <v>62</v>
      </c>
      <c r="B8" s="8" t="s">
        <v>549</v>
      </c>
      <c r="C8" s="8" t="s">
        <v>550</v>
      </c>
      <c r="D8" s="8" t="s">
        <v>551</v>
      </c>
      <c r="E8" s="8" t="s">
        <v>552</v>
      </c>
    </row>
    <row r="9" customFormat="false" ht="55.5" hidden="false" customHeight="true" outlineLevel="0" collapsed="false">
      <c r="A9" s="8" t="s">
        <v>62</v>
      </c>
      <c r="B9" s="8" t="s">
        <v>231</v>
      </c>
      <c r="C9" s="8" t="s">
        <v>553</v>
      </c>
      <c r="D9" s="8" t="s">
        <v>554</v>
      </c>
      <c r="E9" s="8" t="s">
        <v>555</v>
      </c>
    </row>
    <row r="10" customFormat="false" ht="55.5" hidden="false" customHeight="true" outlineLevel="0" collapsed="false">
      <c r="A10" s="8" t="s">
        <v>67</v>
      </c>
      <c r="B10" s="8" t="s">
        <v>556</v>
      </c>
      <c r="C10" s="8" t="s">
        <v>557</v>
      </c>
      <c r="D10" s="8" t="s">
        <v>558</v>
      </c>
      <c r="E10" s="8" t="s">
        <v>559</v>
      </c>
    </row>
    <row r="11" customFormat="false" ht="55.5" hidden="false" customHeight="true" outlineLevel="0" collapsed="false">
      <c r="A11" s="8" t="s">
        <v>77</v>
      </c>
      <c r="B11" s="8" t="s">
        <v>307</v>
      </c>
      <c r="C11" s="8" t="s">
        <v>560</v>
      </c>
      <c r="D11" s="8" t="s">
        <v>561</v>
      </c>
      <c r="E11" s="8" t="s">
        <v>562</v>
      </c>
    </row>
    <row r="12" customFormat="false" ht="55.5" hidden="false" customHeight="true" outlineLevel="0" collapsed="false">
      <c r="A12" s="8" t="s">
        <v>81</v>
      </c>
      <c r="B12" s="8" t="s">
        <v>329</v>
      </c>
      <c r="C12" s="8" t="s">
        <v>563</v>
      </c>
      <c r="D12" s="8" t="s">
        <v>564</v>
      </c>
      <c r="E12" s="8" t="s">
        <v>565</v>
      </c>
    </row>
    <row r="13" customFormat="false" ht="55.5" hidden="false" customHeight="true" outlineLevel="0" collapsed="false">
      <c r="A13" s="8" t="s">
        <v>85</v>
      </c>
      <c r="B13" s="8" t="s">
        <v>342</v>
      </c>
      <c r="C13" s="8" t="s">
        <v>566</v>
      </c>
      <c r="D13" s="8" t="s">
        <v>567</v>
      </c>
      <c r="E13" s="8" t="s">
        <v>568</v>
      </c>
    </row>
    <row r="14" customFormat="false" ht="55.5" hidden="false" customHeight="true" outlineLevel="0" collapsed="false">
      <c r="A14" s="8" t="s">
        <v>89</v>
      </c>
      <c r="B14" s="8" t="s">
        <v>363</v>
      </c>
      <c r="C14" s="8" t="s">
        <v>569</v>
      </c>
      <c r="D14" s="8" t="s">
        <v>570</v>
      </c>
      <c r="E14" s="8" t="s">
        <v>571</v>
      </c>
    </row>
    <row r="15" customFormat="false" ht="55.5" hidden="false" customHeight="true" outlineLevel="0" collapsed="false">
      <c r="A15" s="8" t="s">
        <v>93</v>
      </c>
      <c r="B15" s="8" t="s">
        <v>392</v>
      </c>
      <c r="C15" s="8" t="s">
        <v>572</v>
      </c>
      <c r="D15" s="8" t="s">
        <v>573</v>
      </c>
      <c r="E15" s="8" t="s">
        <v>574</v>
      </c>
    </row>
    <row r="16" customFormat="false" ht="55.5" hidden="false" customHeight="true" outlineLevel="0" collapsed="false">
      <c r="A16" s="8" t="s">
        <v>97</v>
      </c>
      <c r="B16" s="8" t="s">
        <v>403</v>
      </c>
      <c r="C16" s="8" t="s">
        <v>575</v>
      </c>
      <c r="D16" s="8" t="s">
        <v>576</v>
      </c>
      <c r="E16" s="8" t="s">
        <v>577</v>
      </c>
    </row>
    <row r="17" customFormat="false" ht="55.5" hidden="false" customHeight="true" outlineLevel="0" collapsed="false">
      <c r="A17" s="8" t="s">
        <v>101</v>
      </c>
      <c r="B17" s="8" t="s">
        <v>437</v>
      </c>
      <c r="C17" s="8" t="s">
        <v>578</v>
      </c>
      <c r="D17" s="8" t="s">
        <v>579</v>
      </c>
      <c r="E17" s="8" t="s">
        <v>580</v>
      </c>
    </row>
    <row r="18" customFormat="false" ht="55.5" hidden="false" customHeight="true" outlineLevel="0" collapsed="false">
      <c r="A18" s="8" t="s">
        <v>105</v>
      </c>
      <c r="B18" s="8" t="s">
        <v>426</v>
      </c>
      <c r="C18" s="8" t="s">
        <v>581</v>
      </c>
      <c r="D18" s="8" t="s">
        <v>582</v>
      </c>
      <c r="E18" s="8" t="s">
        <v>583</v>
      </c>
    </row>
    <row r="19" customFormat="false" ht="55.5" hidden="false" customHeight="true" outlineLevel="0" collapsed="false">
      <c r="A19" s="8" t="s">
        <v>109</v>
      </c>
      <c r="B19" s="8" t="s">
        <v>467</v>
      </c>
      <c r="C19" s="8" t="s">
        <v>584</v>
      </c>
      <c r="D19" s="8" t="s">
        <v>585</v>
      </c>
      <c r="E19" s="8" t="s">
        <v>586</v>
      </c>
    </row>
    <row r="20" customFormat="false" ht="55.5" hidden="false" customHeight="true" outlineLevel="0" collapsed="false">
      <c r="A20" s="8" t="s">
        <v>118</v>
      </c>
      <c r="B20" s="8" t="s">
        <v>528</v>
      </c>
      <c r="C20" s="8" t="s">
        <v>587</v>
      </c>
      <c r="D20" s="8" t="s">
        <v>528</v>
      </c>
      <c r="E20" s="8" t="s">
        <v>588</v>
      </c>
    </row>
  </sheetData>
  <autoFilter ref="A4:E20"/>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10"/>
    <col collapsed="false" customWidth="true" hidden="false" outlineLevel="0" max="4" min="4" style="0" width="9"/>
  </cols>
  <sheetData>
    <row r="1" customFormat="false" ht="16.15" hidden="false" customHeight="false" outlineLevel="0" collapsed="false">
      <c r="A1" s="1" t="s">
        <v>33</v>
      </c>
    </row>
    <row r="2" customFormat="false" ht="30" hidden="false" customHeight="true" outlineLevel="0" collapsed="false">
      <c r="A2" s="6" t="s">
        <v>589</v>
      </c>
      <c r="B2" s="6"/>
      <c r="C2" s="6"/>
      <c r="D2" s="6"/>
    </row>
    <row r="4" customFormat="false" ht="31.5" hidden="false" customHeight="true" outlineLevel="0" collapsed="false">
      <c r="A4" s="7" t="s">
        <v>590</v>
      </c>
      <c r="B4" s="7" t="s">
        <v>127</v>
      </c>
      <c r="C4" s="7" t="s">
        <v>43</v>
      </c>
      <c r="D4" s="7" t="s">
        <v>46</v>
      </c>
    </row>
    <row r="5" customFormat="false" ht="15" hidden="false" customHeight="false" outlineLevel="0" collapsed="false">
      <c r="A5" s="17" t="n">
        <v>1</v>
      </c>
      <c r="B5" s="18" t="s">
        <v>247</v>
      </c>
      <c r="C5" s="17" t="s">
        <v>67</v>
      </c>
      <c r="D5" s="17" t="s">
        <v>139</v>
      </c>
    </row>
    <row r="6" customFormat="false" ht="15" hidden="false" customHeight="false" outlineLevel="0" collapsed="false">
      <c r="A6" s="17" t="n">
        <v>2</v>
      </c>
      <c r="B6" s="18" t="s">
        <v>294</v>
      </c>
      <c r="C6" s="17" t="s">
        <v>72</v>
      </c>
      <c r="D6" s="17" t="s">
        <v>139</v>
      </c>
    </row>
    <row r="7" customFormat="false" ht="15" hidden="false" customHeight="false" outlineLevel="0" collapsed="false">
      <c r="A7" s="17" t="n">
        <v>3</v>
      </c>
      <c r="B7" s="18" t="s">
        <v>400</v>
      </c>
      <c r="C7" s="17" t="s">
        <v>93</v>
      </c>
      <c r="D7" s="17" t="s">
        <v>139</v>
      </c>
    </row>
    <row r="8" customFormat="false" ht="15" hidden="false" customHeight="false" outlineLevel="0" collapsed="false">
      <c r="A8" s="17" t="n">
        <v>4</v>
      </c>
      <c r="B8" s="18" t="s">
        <v>464</v>
      </c>
      <c r="C8" s="17" t="s">
        <v>101</v>
      </c>
      <c r="D8" s="17" t="s">
        <v>139</v>
      </c>
    </row>
    <row r="9" customFormat="false" ht="15" hidden="false" customHeight="false" outlineLevel="0" collapsed="false">
      <c r="A9" s="17" t="n">
        <v>5</v>
      </c>
      <c r="B9" s="18" t="s">
        <v>456</v>
      </c>
      <c r="C9" s="17" t="s">
        <v>101</v>
      </c>
      <c r="D9" s="17" t="s">
        <v>53</v>
      </c>
    </row>
    <row r="10" customFormat="false" ht="15" hidden="false" customHeight="false" outlineLevel="0" collapsed="false">
      <c r="A10" s="17" t="n">
        <v>6</v>
      </c>
      <c r="B10" s="18" t="s">
        <v>261</v>
      </c>
      <c r="C10" s="17" t="s">
        <v>67</v>
      </c>
      <c r="D10" s="17" t="s">
        <v>139</v>
      </c>
    </row>
    <row r="11" customFormat="false" ht="15" hidden="false" customHeight="false" outlineLevel="0" collapsed="false">
      <c r="A11" s="17" t="n">
        <v>7</v>
      </c>
      <c r="B11" s="18" t="s">
        <v>299</v>
      </c>
      <c r="C11" s="17" t="s">
        <v>72</v>
      </c>
      <c r="D11" s="17" t="s">
        <v>53</v>
      </c>
    </row>
    <row r="12" customFormat="false" ht="15" hidden="false" customHeight="false" outlineLevel="0" collapsed="false">
      <c r="A12" s="17" t="n">
        <v>8</v>
      </c>
      <c r="B12" s="18" t="s">
        <v>427</v>
      </c>
      <c r="C12" s="17" t="s">
        <v>105</v>
      </c>
      <c r="D12" s="17" t="s">
        <v>139</v>
      </c>
    </row>
    <row r="13" customFormat="false" ht="15" hidden="false" customHeight="false" outlineLevel="0" collapsed="false">
      <c r="A13" s="17" t="n">
        <v>9</v>
      </c>
      <c r="B13" s="18" t="s">
        <v>435</v>
      </c>
      <c r="C13" s="17" t="s">
        <v>105</v>
      </c>
      <c r="D13" s="17" t="s">
        <v>139</v>
      </c>
    </row>
    <row r="14" customFormat="false" ht="15" hidden="false" customHeight="false" outlineLevel="0" collapsed="false">
      <c r="A14" s="17" t="n">
        <v>10</v>
      </c>
      <c r="B14" s="18" t="s">
        <v>430</v>
      </c>
      <c r="C14" s="17" t="s">
        <v>105</v>
      </c>
      <c r="D14" s="17" t="s">
        <v>139</v>
      </c>
    </row>
    <row r="15" customFormat="false" ht="15" hidden="false" customHeight="false" outlineLevel="0" collapsed="false">
      <c r="A15" s="17" t="n">
        <v>11</v>
      </c>
      <c r="B15" s="18" t="s">
        <v>433</v>
      </c>
      <c r="C15" s="17" t="s">
        <v>105</v>
      </c>
      <c r="D15" s="17" t="s">
        <v>53</v>
      </c>
    </row>
    <row r="16" customFormat="false" ht="15" hidden="false" customHeight="false" outlineLevel="0" collapsed="false">
      <c r="A16" s="17" t="n">
        <v>12</v>
      </c>
      <c r="B16" s="18" t="s">
        <v>302</v>
      </c>
      <c r="C16" s="17" t="s">
        <v>72</v>
      </c>
      <c r="D16" s="17" t="s">
        <v>53</v>
      </c>
    </row>
    <row r="17" customFormat="false" ht="15" hidden="false" customHeight="false" outlineLevel="0" collapsed="false">
      <c r="A17" s="17" t="n">
        <v>13</v>
      </c>
      <c r="B17" s="18" t="s">
        <v>305</v>
      </c>
      <c r="C17" s="17" t="s">
        <v>72</v>
      </c>
      <c r="D17" s="17" t="s">
        <v>53</v>
      </c>
    </row>
    <row r="18" customFormat="false" ht="15" hidden="false" customHeight="false" outlineLevel="0" collapsed="false">
      <c r="A18" s="17" t="n">
        <v>14</v>
      </c>
      <c r="B18" s="18" t="s">
        <v>497</v>
      </c>
      <c r="C18" s="17" t="s">
        <v>114</v>
      </c>
      <c r="D18" s="17" t="s">
        <v>139</v>
      </c>
    </row>
    <row r="19" customFormat="false" ht="15" hidden="false" customHeight="false" outlineLevel="0" collapsed="false">
      <c r="A19" s="17" t="n">
        <v>15</v>
      </c>
      <c r="B19" s="18" t="s">
        <v>487</v>
      </c>
      <c r="C19" s="17" t="s">
        <v>114</v>
      </c>
      <c r="D19" s="17" t="s">
        <v>139</v>
      </c>
    </row>
    <row r="20" customFormat="false" ht="15" hidden="false" customHeight="false" outlineLevel="0" collapsed="false">
      <c r="A20" s="17" t="n">
        <v>16</v>
      </c>
      <c r="B20" s="18" t="s">
        <v>499</v>
      </c>
      <c r="C20" s="17" t="s">
        <v>114</v>
      </c>
      <c r="D20" s="17" t="s">
        <v>139</v>
      </c>
    </row>
    <row r="21" customFormat="false" ht="15" hidden="false" customHeight="false" outlineLevel="0" collapsed="false">
      <c r="A21" s="17" t="n">
        <v>17</v>
      </c>
      <c r="B21" s="18" t="s">
        <v>489</v>
      </c>
      <c r="C21" s="17" t="s">
        <v>114</v>
      </c>
      <c r="D21" s="17" t="s">
        <v>139</v>
      </c>
    </row>
    <row r="22" customFormat="false" ht="15" hidden="false" customHeight="false" outlineLevel="0" collapsed="false">
      <c r="A22" s="17" t="n">
        <v>18</v>
      </c>
      <c r="B22" s="18" t="s">
        <v>492</v>
      </c>
      <c r="C22" s="17" t="s">
        <v>114</v>
      </c>
      <c r="D22" s="17" t="s">
        <v>139</v>
      </c>
    </row>
    <row r="23" customFormat="false" ht="15" hidden="false" customHeight="false" outlineLevel="0" collapsed="false">
      <c r="A23" s="17" t="n">
        <v>19</v>
      </c>
      <c r="B23" s="18" t="s">
        <v>495</v>
      </c>
      <c r="C23" s="17" t="s">
        <v>114</v>
      </c>
      <c r="D23" s="17" t="s">
        <v>139</v>
      </c>
    </row>
    <row r="24" customFormat="false" ht="15" hidden="false" customHeight="false" outlineLevel="0" collapsed="false">
      <c r="A24" s="17" t="n">
        <v>20</v>
      </c>
      <c r="B24" s="18" t="s">
        <v>310</v>
      </c>
      <c r="C24" s="17" t="s">
        <v>77</v>
      </c>
      <c r="D24" s="17" t="s">
        <v>139</v>
      </c>
    </row>
    <row r="25" customFormat="false" ht="15" hidden="false" customHeight="false" outlineLevel="0" collapsed="false">
      <c r="A25" s="17" t="n">
        <v>21</v>
      </c>
      <c r="B25" s="18" t="s">
        <v>312</v>
      </c>
      <c r="C25" s="17" t="s">
        <v>77</v>
      </c>
      <c r="D25" s="17" t="s">
        <v>139</v>
      </c>
    </row>
    <row r="26" customFormat="false" ht="15" hidden="false" customHeight="false" outlineLevel="0" collapsed="false">
      <c r="A26" s="17" t="n">
        <v>22</v>
      </c>
      <c r="B26" s="18" t="s">
        <v>308</v>
      </c>
      <c r="C26" s="17" t="s">
        <v>77</v>
      </c>
      <c r="D26" s="17" t="s">
        <v>139</v>
      </c>
    </row>
    <row r="27" customFormat="false" ht="15" hidden="false" customHeight="false" outlineLevel="0" collapsed="false">
      <c r="A27" s="17" t="n">
        <v>23</v>
      </c>
      <c r="B27" s="18" t="s">
        <v>315</v>
      </c>
      <c r="C27" s="17" t="s">
        <v>77</v>
      </c>
      <c r="D27" s="17" t="s">
        <v>53</v>
      </c>
    </row>
    <row r="28" customFormat="false" ht="15" hidden="false" customHeight="false" outlineLevel="0" collapsed="false">
      <c r="A28" s="17" t="n">
        <v>24</v>
      </c>
      <c r="B28" s="18" t="s">
        <v>318</v>
      </c>
      <c r="C28" s="17" t="s">
        <v>77</v>
      </c>
      <c r="D28" s="17" t="s">
        <v>53</v>
      </c>
    </row>
    <row r="29" customFormat="false" ht="15" hidden="false" customHeight="false" outlineLevel="0" collapsed="false">
      <c r="A29" s="17" t="n">
        <v>25</v>
      </c>
      <c r="B29" s="18" t="s">
        <v>321</v>
      </c>
      <c r="C29" s="17" t="s">
        <v>77</v>
      </c>
      <c r="D29" s="17" t="s">
        <v>139</v>
      </c>
    </row>
    <row r="30" customFormat="false" ht="15" hidden="false" customHeight="false" outlineLevel="0" collapsed="false">
      <c r="A30" s="17" t="n">
        <v>26</v>
      </c>
      <c r="B30" s="18" t="s">
        <v>501</v>
      </c>
      <c r="C30" s="17" t="s">
        <v>114</v>
      </c>
      <c r="D30" s="17" t="s">
        <v>139</v>
      </c>
    </row>
    <row r="31" customFormat="false" ht="15" hidden="false" customHeight="false" outlineLevel="0" collapsed="false">
      <c r="A31" s="17" t="n">
        <v>27</v>
      </c>
      <c r="B31" s="18" t="s">
        <v>484</v>
      </c>
      <c r="C31" s="17" t="s">
        <v>114</v>
      </c>
      <c r="D31" s="17" t="s">
        <v>53</v>
      </c>
    </row>
    <row r="32" customFormat="false" ht="15" hidden="false" customHeight="false" outlineLevel="0" collapsed="false">
      <c r="A32" s="17" t="n">
        <v>28</v>
      </c>
      <c r="B32" s="18" t="s">
        <v>275</v>
      </c>
      <c r="C32" s="17" t="s">
        <v>72</v>
      </c>
      <c r="D32" s="17" t="s">
        <v>139</v>
      </c>
    </row>
    <row r="33" customFormat="false" ht="15" hidden="false" customHeight="false" outlineLevel="0" collapsed="false">
      <c r="A33" s="17" t="n">
        <v>29</v>
      </c>
      <c r="B33" s="18" t="s">
        <v>283</v>
      </c>
      <c r="C33" s="17" t="s">
        <v>72</v>
      </c>
      <c r="D33" s="17" t="s">
        <v>139</v>
      </c>
    </row>
    <row r="34" customFormat="false" ht="15" hidden="false" customHeight="false" outlineLevel="0" collapsed="false">
      <c r="A34" s="17" t="n">
        <v>30</v>
      </c>
      <c r="B34" s="18" t="s">
        <v>288</v>
      </c>
      <c r="C34" s="17" t="s">
        <v>72</v>
      </c>
      <c r="D34" s="17" t="s">
        <v>53</v>
      </c>
    </row>
    <row r="35" customFormat="false" ht="15" hidden="false" customHeight="false" outlineLevel="0" collapsed="false">
      <c r="A35" s="17" t="n">
        <v>31</v>
      </c>
      <c r="B35" s="18" t="s">
        <v>285</v>
      </c>
      <c r="C35" s="17" t="s">
        <v>72</v>
      </c>
      <c r="D35" s="17" t="s">
        <v>53</v>
      </c>
    </row>
    <row r="36" customFormat="false" ht="15" hidden="false" customHeight="false" outlineLevel="0" collapsed="false">
      <c r="A36" s="17" t="n">
        <v>32</v>
      </c>
      <c r="B36" s="18" t="s">
        <v>503</v>
      </c>
      <c r="C36" s="17" t="s">
        <v>114</v>
      </c>
      <c r="D36" s="17" t="s">
        <v>139</v>
      </c>
    </row>
    <row r="37" customFormat="false" ht="15" hidden="false" customHeight="false" outlineLevel="0" collapsed="false">
      <c r="A37" s="17" t="n">
        <v>33</v>
      </c>
      <c r="B37" s="18" t="s">
        <v>323</v>
      </c>
      <c r="C37" s="17" t="s">
        <v>77</v>
      </c>
      <c r="D37" s="17" t="s">
        <v>139</v>
      </c>
    </row>
    <row r="38" customFormat="false" ht="15" hidden="false" customHeight="false" outlineLevel="0" collapsed="false">
      <c r="A38" s="17" t="n">
        <v>34</v>
      </c>
      <c r="B38" s="18" t="s">
        <v>326</v>
      </c>
      <c r="C38" s="17" t="s">
        <v>77</v>
      </c>
      <c r="D38" s="17" t="s">
        <v>139</v>
      </c>
    </row>
    <row r="39" customFormat="false" ht="15" hidden="false" customHeight="false" outlineLevel="0" collapsed="false">
      <c r="A39" s="17" t="n">
        <v>35</v>
      </c>
      <c r="B39" s="18" t="s">
        <v>332</v>
      </c>
      <c r="C39" s="17" t="s">
        <v>81</v>
      </c>
      <c r="D39" s="17" t="s">
        <v>139</v>
      </c>
    </row>
    <row r="40" customFormat="false" ht="15" hidden="false" customHeight="false" outlineLevel="0" collapsed="false">
      <c r="A40" s="17" t="n">
        <v>36</v>
      </c>
      <c r="B40" s="18" t="s">
        <v>334</v>
      </c>
      <c r="C40" s="17" t="s">
        <v>81</v>
      </c>
      <c r="D40" s="17" t="s">
        <v>139</v>
      </c>
    </row>
    <row r="41" customFormat="false" ht="15" hidden="false" customHeight="false" outlineLevel="0" collapsed="false">
      <c r="A41" s="17" t="n">
        <v>37</v>
      </c>
      <c r="B41" s="18" t="s">
        <v>330</v>
      </c>
      <c r="C41" s="17" t="s">
        <v>81</v>
      </c>
      <c r="D41" s="17" t="s">
        <v>139</v>
      </c>
    </row>
    <row r="42" customFormat="false" ht="15" hidden="false" customHeight="false" outlineLevel="0" collapsed="false">
      <c r="A42" s="17" t="n">
        <v>38</v>
      </c>
      <c r="B42" s="18" t="s">
        <v>336</v>
      </c>
      <c r="C42" s="17" t="s">
        <v>81</v>
      </c>
      <c r="D42" s="17" t="s">
        <v>53</v>
      </c>
    </row>
    <row r="43" customFormat="false" ht="15" hidden="false" customHeight="false" outlineLevel="0" collapsed="false">
      <c r="A43" s="17" t="n">
        <v>39</v>
      </c>
      <c r="B43" s="18" t="s">
        <v>338</v>
      </c>
      <c r="C43" s="17" t="s">
        <v>81</v>
      </c>
      <c r="D43" s="17" t="s">
        <v>139</v>
      </c>
    </row>
    <row r="44" customFormat="false" ht="15" hidden="false" customHeight="false" outlineLevel="0" collapsed="false">
      <c r="A44" s="17" t="n">
        <v>40</v>
      </c>
      <c r="B44" s="18" t="s">
        <v>340</v>
      </c>
      <c r="C44" s="17" t="s">
        <v>81</v>
      </c>
      <c r="D44" s="17" t="s">
        <v>53</v>
      </c>
    </row>
    <row r="45" customFormat="false" ht="15" hidden="false" customHeight="false" outlineLevel="0" collapsed="false">
      <c r="A45" s="17" t="n">
        <v>41</v>
      </c>
      <c r="B45" s="18" t="s">
        <v>192</v>
      </c>
      <c r="C45" s="17" t="s">
        <v>62</v>
      </c>
      <c r="D45" s="17" t="s">
        <v>139</v>
      </c>
    </row>
    <row r="46" customFormat="false" ht="15" hidden="false" customHeight="false" outlineLevel="0" collapsed="false">
      <c r="A46" s="17" t="n">
        <v>42</v>
      </c>
      <c r="B46" s="18" t="s">
        <v>190</v>
      </c>
      <c r="C46" s="17" t="s">
        <v>62</v>
      </c>
      <c r="D46" s="17" t="s">
        <v>139</v>
      </c>
    </row>
    <row r="47" customFormat="false" ht="15" hidden="false" customHeight="false" outlineLevel="0" collapsed="false">
      <c r="A47" s="17" t="n">
        <v>43</v>
      </c>
      <c r="B47" s="18" t="s">
        <v>196</v>
      </c>
      <c r="C47" s="17" t="s">
        <v>62</v>
      </c>
      <c r="D47" s="17" t="s">
        <v>139</v>
      </c>
    </row>
    <row r="48" customFormat="false" ht="15" hidden="false" customHeight="false" outlineLevel="0" collapsed="false">
      <c r="A48" s="17" t="n">
        <v>44</v>
      </c>
      <c r="B48" s="18" t="s">
        <v>194</v>
      </c>
      <c r="C48" s="17" t="s">
        <v>62</v>
      </c>
      <c r="D48" s="17" t="s">
        <v>53</v>
      </c>
    </row>
    <row r="49" customFormat="false" ht="15" hidden="false" customHeight="false" outlineLevel="0" collapsed="false">
      <c r="A49" s="17" t="n">
        <v>45</v>
      </c>
      <c r="B49" s="18" t="s">
        <v>202</v>
      </c>
      <c r="C49" s="17" t="s">
        <v>62</v>
      </c>
      <c r="D49" s="17" t="s">
        <v>139</v>
      </c>
    </row>
    <row r="50" customFormat="false" ht="15" hidden="false" customHeight="false" outlineLevel="0" collapsed="false">
      <c r="A50" s="17" t="n">
        <v>46</v>
      </c>
      <c r="B50" s="18" t="s">
        <v>204</v>
      </c>
      <c r="C50" s="17" t="s">
        <v>62</v>
      </c>
      <c r="D50" s="17" t="s">
        <v>139</v>
      </c>
    </row>
    <row r="51" customFormat="false" ht="15" hidden="false" customHeight="false" outlineLevel="0" collapsed="false">
      <c r="A51" s="17" t="n">
        <v>47</v>
      </c>
      <c r="B51" s="18" t="s">
        <v>199</v>
      </c>
      <c r="C51" s="17" t="s">
        <v>62</v>
      </c>
      <c r="D51" s="17" t="s">
        <v>139</v>
      </c>
    </row>
    <row r="52" customFormat="false" ht="15" hidden="false" customHeight="false" outlineLevel="0" collapsed="false">
      <c r="A52" s="17" t="n">
        <v>48</v>
      </c>
      <c r="B52" s="18" t="s">
        <v>209</v>
      </c>
      <c r="C52" s="17" t="s">
        <v>62</v>
      </c>
      <c r="D52" s="17" t="s">
        <v>53</v>
      </c>
    </row>
    <row r="53" customFormat="false" ht="15" hidden="false" customHeight="false" outlineLevel="0" collapsed="false">
      <c r="A53" s="17" t="n">
        <v>49</v>
      </c>
      <c r="B53" s="18" t="s">
        <v>206</v>
      </c>
      <c r="C53" s="17" t="s">
        <v>62</v>
      </c>
      <c r="D53" s="17" t="s">
        <v>53</v>
      </c>
    </row>
    <row r="54" customFormat="false" ht="15" hidden="false" customHeight="false" outlineLevel="0" collapsed="false">
      <c r="A54" s="17" t="n">
        <v>50</v>
      </c>
      <c r="B54" s="18" t="s">
        <v>367</v>
      </c>
      <c r="C54" s="17" t="s">
        <v>89</v>
      </c>
      <c r="D54" s="17" t="s">
        <v>139</v>
      </c>
    </row>
    <row r="55" customFormat="false" ht="15" hidden="false" customHeight="false" outlineLevel="0" collapsed="false">
      <c r="A55" s="17" t="n">
        <v>51</v>
      </c>
      <c r="B55" s="18" t="s">
        <v>369</v>
      </c>
      <c r="C55" s="17" t="s">
        <v>89</v>
      </c>
      <c r="D55" s="17" t="s">
        <v>139</v>
      </c>
    </row>
    <row r="56" customFormat="false" ht="15" hidden="false" customHeight="false" outlineLevel="0" collapsed="false">
      <c r="A56" s="17" t="n">
        <v>52</v>
      </c>
      <c r="B56" s="18" t="s">
        <v>364</v>
      </c>
      <c r="C56" s="17" t="s">
        <v>89</v>
      </c>
      <c r="D56" s="17" t="s">
        <v>139</v>
      </c>
    </row>
    <row r="57" customFormat="false" ht="15" hidden="false" customHeight="false" outlineLevel="0" collapsed="false">
      <c r="A57" s="17" t="n">
        <v>53</v>
      </c>
      <c r="B57" s="18" t="s">
        <v>382</v>
      </c>
      <c r="C57" s="17" t="s">
        <v>89</v>
      </c>
      <c r="D57" s="17" t="s">
        <v>139</v>
      </c>
    </row>
    <row r="58" customFormat="false" ht="15" hidden="false" customHeight="false" outlineLevel="0" collapsed="false">
      <c r="A58" s="17" t="n">
        <v>54</v>
      </c>
      <c r="B58" s="18" t="s">
        <v>384</v>
      </c>
      <c r="C58" s="17" t="s">
        <v>89</v>
      </c>
      <c r="D58" s="17" t="s">
        <v>139</v>
      </c>
    </row>
    <row r="59" customFormat="false" ht="15" hidden="false" customHeight="false" outlineLevel="0" collapsed="false">
      <c r="A59" s="17" t="n">
        <v>55</v>
      </c>
      <c r="B59" s="18" t="s">
        <v>393</v>
      </c>
      <c r="C59" s="17" t="s">
        <v>93</v>
      </c>
      <c r="D59" s="17" t="s">
        <v>53</v>
      </c>
    </row>
    <row r="60" customFormat="false" ht="15" hidden="false" customHeight="false" outlineLevel="0" collapsed="false">
      <c r="A60" s="17" t="n">
        <v>56</v>
      </c>
      <c r="B60" s="18" t="s">
        <v>380</v>
      </c>
      <c r="C60" s="17" t="s">
        <v>89</v>
      </c>
      <c r="D60" s="17" t="s">
        <v>53</v>
      </c>
    </row>
    <row r="61" customFormat="false" ht="15" hidden="false" customHeight="false" outlineLevel="0" collapsed="false">
      <c r="A61" s="17" t="n">
        <v>57</v>
      </c>
      <c r="B61" s="18" t="s">
        <v>375</v>
      </c>
      <c r="C61" s="17" t="s">
        <v>89</v>
      </c>
      <c r="D61" s="17" t="s">
        <v>53</v>
      </c>
    </row>
    <row r="62" customFormat="false" ht="15" hidden="false" customHeight="false" outlineLevel="0" collapsed="false">
      <c r="A62" s="17" t="n">
        <v>58</v>
      </c>
      <c r="B62" s="18" t="s">
        <v>373</v>
      </c>
      <c r="C62" s="17" t="s">
        <v>89</v>
      </c>
      <c r="D62" s="17" t="s">
        <v>53</v>
      </c>
    </row>
    <row r="63" customFormat="false" ht="15" hidden="false" customHeight="false" outlineLevel="0" collapsed="false">
      <c r="A63" s="17" t="n">
        <v>59</v>
      </c>
      <c r="B63" s="18" t="s">
        <v>371</v>
      </c>
      <c r="C63" s="17" t="s">
        <v>89</v>
      </c>
      <c r="D63" s="17" t="s">
        <v>53</v>
      </c>
    </row>
    <row r="64" customFormat="false" ht="15" hidden="false" customHeight="false" outlineLevel="0" collapsed="false">
      <c r="A64" s="17" t="n">
        <v>60</v>
      </c>
      <c r="B64" s="18" t="s">
        <v>377</v>
      </c>
      <c r="C64" s="17" t="s">
        <v>89</v>
      </c>
      <c r="D64" s="17" t="s">
        <v>53</v>
      </c>
    </row>
    <row r="65" customFormat="false" ht="15" hidden="false" customHeight="false" outlineLevel="0" collapsed="false">
      <c r="A65" s="17" t="n">
        <v>61</v>
      </c>
      <c r="B65" s="18" t="s">
        <v>217</v>
      </c>
      <c r="C65" s="17" t="s">
        <v>62</v>
      </c>
      <c r="D65" s="17" t="s">
        <v>139</v>
      </c>
    </row>
    <row r="66" customFormat="false" ht="15" hidden="false" customHeight="false" outlineLevel="0" collapsed="false">
      <c r="A66" s="17" t="n">
        <v>62</v>
      </c>
      <c r="B66" s="18" t="s">
        <v>219</v>
      </c>
      <c r="C66" s="17" t="s">
        <v>62</v>
      </c>
      <c r="D66" s="17" t="s">
        <v>139</v>
      </c>
    </row>
    <row r="67" customFormat="false" ht="15" hidden="false" customHeight="false" outlineLevel="0" collapsed="false">
      <c r="A67" s="17" t="n">
        <v>63</v>
      </c>
      <c r="B67" s="18" t="s">
        <v>215</v>
      </c>
      <c r="C67" s="17" t="s">
        <v>62</v>
      </c>
      <c r="D67" s="17" t="s">
        <v>139</v>
      </c>
    </row>
    <row r="68" customFormat="false" ht="15" hidden="false" customHeight="false" outlineLevel="0" collapsed="false">
      <c r="A68" s="17" t="n">
        <v>64</v>
      </c>
      <c r="B68" s="18" t="s">
        <v>228</v>
      </c>
      <c r="C68" s="17" t="s">
        <v>62</v>
      </c>
      <c r="D68" s="17" t="s">
        <v>139</v>
      </c>
    </row>
    <row r="69" customFormat="false" ht="15" hidden="false" customHeight="false" outlineLevel="0" collapsed="false">
      <c r="A69" s="17" t="n">
        <v>65</v>
      </c>
      <c r="B69" s="18" t="s">
        <v>221</v>
      </c>
      <c r="C69" s="17" t="s">
        <v>62</v>
      </c>
      <c r="D69" s="17" t="s">
        <v>53</v>
      </c>
    </row>
    <row r="70" customFormat="false" ht="15" hidden="false" customHeight="false" outlineLevel="0" collapsed="false">
      <c r="A70" s="17" t="n">
        <v>66</v>
      </c>
      <c r="B70" s="18" t="s">
        <v>223</v>
      </c>
      <c r="C70" s="17" t="s">
        <v>62</v>
      </c>
      <c r="D70" s="17" t="s">
        <v>53</v>
      </c>
    </row>
    <row r="71" customFormat="false" ht="15" hidden="false" customHeight="false" outlineLevel="0" collapsed="false">
      <c r="A71" s="17" t="n">
        <v>67</v>
      </c>
      <c r="B71" s="18" t="s">
        <v>225</v>
      </c>
      <c r="C71" s="17" t="s">
        <v>62</v>
      </c>
      <c r="D71" s="17" t="s">
        <v>53</v>
      </c>
    </row>
    <row r="72" customFormat="false" ht="15" hidden="false" customHeight="false" outlineLevel="0" collapsed="false">
      <c r="A72" s="17" t="n">
        <v>68</v>
      </c>
      <c r="B72" s="18" t="s">
        <v>346</v>
      </c>
      <c r="C72" s="17" t="s">
        <v>85</v>
      </c>
      <c r="D72" s="17" t="s">
        <v>139</v>
      </c>
    </row>
    <row r="73" customFormat="false" ht="15" hidden="false" customHeight="false" outlineLevel="0" collapsed="false">
      <c r="A73" s="17" t="n">
        <v>69</v>
      </c>
      <c r="B73" s="18" t="s">
        <v>348</v>
      </c>
      <c r="C73" s="17" t="s">
        <v>85</v>
      </c>
      <c r="D73" s="17" t="s">
        <v>139</v>
      </c>
    </row>
    <row r="74" customFormat="false" ht="15" hidden="false" customHeight="false" outlineLevel="0" collapsed="false">
      <c r="A74" s="17" t="n">
        <v>70</v>
      </c>
      <c r="B74" s="18" t="s">
        <v>343</v>
      </c>
      <c r="C74" s="17" t="s">
        <v>85</v>
      </c>
      <c r="D74" s="17" t="s">
        <v>139</v>
      </c>
    </row>
    <row r="75" customFormat="false" ht="15" hidden="false" customHeight="false" outlineLevel="0" collapsed="false">
      <c r="A75" s="17" t="n">
        <v>71</v>
      </c>
      <c r="B75" s="18" t="s">
        <v>353</v>
      </c>
      <c r="C75" s="17" t="s">
        <v>85</v>
      </c>
      <c r="D75" s="17" t="s">
        <v>139</v>
      </c>
    </row>
    <row r="76" customFormat="false" ht="15" hidden="false" customHeight="false" outlineLevel="0" collapsed="false">
      <c r="A76" s="17" t="n">
        <v>72</v>
      </c>
      <c r="B76" s="18" t="s">
        <v>355</v>
      </c>
      <c r="C76" s="17" t="s">
        <v>85</v>
      </c>
      <c r="D76" s="17" t="s">
        <v>139</v>
      </c>
    </row>
    <row r="77" customFormat="false" ht="15" hidden="false" customHeight="false" outlineLevel="0" collapsed="false">
      <c r="A77" s="17" t="n">
        <v>73</v>
      </c>
      <c r="B77" s="18" t="s">
        <v>357</v>
      </c>
      <c r="C77" s="17" t="s">
        <v>85</v>
      </c>
      <c r="D77" s="17" t="s">
        <v>139</v>
      </c>
    </row>
    <row r="78" customFormat="false" ht="15" hidden="false" customHeight="false" outlineLevel="0" collapsed="false">
      <c r="A78" s="17" t="n">
        <v>74</v>
      </c>
      <c r="B78" s="18" t="s">
        <v>359</v>
      </c>
      <c r="C78" s="17" t="s">
        <v>85</v>
      </c>
      <c r="D78" s="17" t="s">
        <v>139</v>
      </c>
    </row>
    <row r="79" customFormat="false" ht="15" hidden="false" customHeight="false" outlineLevel="0" collapsed="false">
      <c r="A79" s="17" t="n">
        <v>75</v>
      </c>
      <c r="B79" s="18" t="s">
        <v>350</v>
      </c>
      <c r="C79" s="17" t="s">
        <v>85</v>
      </c>
      <c r="D79" s="17" t="s">
        <v>53</v>
      </c>
    </row>
    <row r="80" customFormat="false" ht="15" hidden="false" customHeight="false" outlineLevel="0" collapsed="false">
      <c r="A80" s="17" t="n">
        <v>76</v>
      </c>
      <c r="B80" s="18" t="s">
        <v>398</v>
      </c>
      <c r="C80" s="17" t="s">
        <v>93</v>
      </c>
      <c r="D80" s="17" t="s">
        <v>53</v>
      </c>
    </row>
    <row r="81" customFormat="false" ht="15" hidden="false" customHeight="false" outlineLevel="0" collapsed="false">
      <c r="A81" s="17" t="n">
        <v>77</v>
      </c>
      <c r="B81" s="18" t="s">
        <v>386</v>
      </c>
      <c r="C81" s="17" t="s">
        <v>89</v>
      </c>
      <c r="D81" s="17" t="s">
        <v>139</v>
      </c>
    </row>
    <row r="82" customFormat="false" ht="15" hidden="false" customHeight="false" outlineLevel="0" collapsed="false">
      <c r="A82" s="17" t="n">
        <v>78</v>
      </c>
      <c r="B82" s="18" t="s">
        <v>235</v>
      </c>
      <c r="C82" s="17" t="s">
        <v>62</v>
      </c>
      <c r="D82" s="17" t="s">
        <v>139</v>
      </c>
    </row>
    <row r="83" customFormat="false" ht="15" hidden="false" customHeight="false" outlineLevel="0" collapsed="false">
      <c r="A83" s="17" t="n">
        <v>79</v>
      </c>
      <c r="B83" s="18" t="s">
        <v>237</v>
      </c>
      <c r="C83" s="17" t="s">
        <v>62</v>
      </c>
      <c r="D83" s="17" t="s">
        <v>139</v>
      </c>
    </row>
    <row r="84" customFormat="false" ht="15" hidden="false" customHeight="false" outlineLevel="0" collapsed="false">
      <c r="A84" s="17" t="n">
        <v>80</v>
      </c>
      <c r="B84" s="18" t="s">
        <v>232</v>
      </c>
      <c r="C84" s="17" t="s">
        <v>62</v>
      </c>
      <c r="D84" s="17" t="s">
        <v>53</v>
      </c>
    </row>
    <row r="85" customFormat="false" ht="15" hidden="false" customHeight="false" outlineLevel="0" collapsed="false">
      <c r="A85" s="17" t="n">
        <v>81</v>
      </c>
      <c r="B85" s="18" t="s">
        <v>361</v>
      </c>
      <c r="C85" s="17" t="s">
        <v>85</v>
      </c>
      <c r="D85" s="17" t="s">
        <v>53</v>
      </c>
    </row>
    <row r="86" customFormat="false" ht="15" hidden="false" customHeight="false" outlineLevel="0" collapsed="false">
      <c r="A86" s="17" t="n">
        <v>82</v>
      </c>
      <c r="B86" s="18" t="s">
        <v>507</v>
      </c>
      <c r="C86" s="17" t="s">
        <v>114</v>
      </c>
      <c r="D86" s="17" t="s">
        <v>139</v>
      </c>
    </row>
    <row r="87" customFormat="false" ht="15" hidden="false" customHeight="false" outlineLevel="0" collapsed="false">
      <c r="A87" s="17" t="n">
        <v>83</v>
      </c>
      <c r="B87" s="18" t="s">
        <v>515</v>
      </c>
      <c r="C87" s="17" t="s">
        <v>114</v>
      </c>
      <c r="D87" s="17" t="s">
        <v>139</v>
      </c>
    </row>
    <row r="88" customFormat="false" ht="15" hidden="false" customHeight="false" outlineLevel="0" collapsed="false">
      <c r="A88" s="17" t="n">
        <v>84</v>
      </c>
      <c r="B88" s="18" t="s">
        <v>509</v>
      </c>
      <c r="C88" s="17" t="s">
        <v>114</v>
      </c>
      <c r="D88" s="17" t="s">
        <v>139</v>
      </c>
    </row>
    <row r="89" customFormat="false" ht="15" hidden="false" customHeight="false" outlineLevel="0" collapsed="false">
      <c r="A89" s="17" t="n">
        <v>85</v>
      </c>
      <c r="B89" s="18" t="s">
        <v>512</v>
      </c>
      <c r="C89" s="17" t="s">
        <v>114</v>
      </c>
      <c r="D89" s="17" t="s">
        <v>139</v>
      </c>
    </row>
    <row r="90" customFormat="false" ht="15" hidden="false" customHeight="false" outlineLevel="0" collapsed="false">
      <c r="A90" s="17" t="n">
        <v>86</v>
      </c>
      <c r="B90" s="18" t="s">
        <v>517</v>
      </c>
      <c r="C90" s="17" t="s">
        <v>114</v>
      </c>
      <c r="D90" s="17" t="s">
        <v>53</v>
      </c>
    </row>
    <row r="91" customFormat="false" ht="15" hidden="false" customHeight="false" outlineLevel="0" collapsed="false">
      <c r="A91" s="17" t="n">
        <v>87</v>
      </c>
      <c r="B91" s="18" t="s">
        <v>521</v>
      </c>
      <c r="C91" s="17" t="s">
        <v>114</v>
      </c>
      <c r="D91" s="17" t="s">
        <v>139</v>
      </c>
    </row>
    <row r="92" customFormat="false" ht="15" hidden="false" customHeight="false" outlineLevel="0" collapsed="false">
      <c r="A92" s="17" t="n">
        <v>88</v>
      </c>
      <c r="B92" s="18" t="s">
        <v>519</v>
      </c>
      <c r="C92" s="17" t="s">
        <v>114</v>
      </c>
      <c r="D92" s="17" t="s">
        <v>53</v>
      </c>
    </row>
    <row r="93" customFormat="false" ht="15" hidden="false" customHeight="false" outlineLevel="0" collapsed="false">
      <c r="A93" s="17" t="n">
        <v>89</v>
      </c>
      <c r="B93" s="18" t="s">
        <v>524</v>
      </c>
      <c r="C93" s="17" t="s">
        <v>114</v>
      </c>
      <c r="D93" s="17" t="s">
        <v>139</v>
      </c>
    </row>
    <row r="94" customFormat="false" ht="15" hidden="false" customHeight="false" outlineLevel="0" collapsed="false">
      <c r="A94" s="17" t="n">
        <v>90</v>
      </c>
      <c r="B94" s="18" t="s">
        <v>526</v>
      </c>
      <c r="C94" s="17" t="s">
        <v>114</v>
      </c>
      <c r="D94" s="17" t="s">
        <v>139</v>
      </c>
    </row>
    <row r="95" customFormat="false" ht="15" hidden="false" customHeight="false" outlineLevel="0" collapsed="false">
      <c r="A95" s="17" t="n">
        <v>91</v>
      </c>
      <c r="B95" s="18" t="s">
        <v>475</v>
      </c>
      <c r="C95" s="17" t="s">
        <v>114</v>
      </c>
      <c r="D95" s="17" t="s">
        <v>139</v>
      </c>
    </row>
    <row r="96" customFormat="false" ht="15" hidden="false" customHeight="false" outlineLevel="0" collapsed="false">
      <c r="A96" s="17" t="n">
        <v>92</v>
      </c>
      <c r="B96" s="18" t="s">
        <v>480</v>
      </c>
      <c r="C96" s="17" t="s">
        <v>114</v>
      </c>
      <c r="D96" s="17" t="s">
        <v>139</v>
      </c>
    </row>
    <row r="97" customFormat="false" ht="15" hidden="false" customHeight="false" outlineLevel="0" collapsed="false">
      <c r="A97" s="17" t="n">
        <v>93</v>
      </c>
      <c r="B97" s="18" t="s">
        <v>478</v>
      </c>
      <c r="C97" s="17" t="s">
        <v>114</v>
      </c>
      <c r="D97" s="17" t="s">
        <v>139</v>
      </c>
    </row>
    <row r="98" customFormat="false" ht="15" hidden="false" customHeight="false" outlineLevel="0" collapsed="false">
      <c r="A98" s="17" t="n">
        <v>94</v>
      </c>
      <c r="B98" s="18" t="s">
        <v>482</v>
      </c>
      <c r="C98" s="17" t="s">
        <v>114</v>
      </c>
      <c r="D98" s="17" t="s">
        <v>139</v>
      </c>
    </row>
    <row r="99" customFormat="false" ht="15" hidden="false" customHeight="false" outlineLevel="0" collapsed="false">
      <c r="A99" s="17" t="n">
        <v>95</v>
      </c>
      <c r="B99" s="18" t="s">
        <v>438</v>
      </c>
      <c r="C99" s="17" t="s">
        <v>101</v>
      </c>
      <c r="D99" s="17" t="s">
        <v>139</v>
      </c>
    </row>
    <row r="100" customFormat="false" ht="15" hidden="false" customHeight="false" outlineLevel="0" collapsed="false">
      <c r="A100" s="17" t="n">
        <v>96</v>
      </c>
      <c r="B100" s="18" t="s">
        <v>445</v>
      </c>
      <c r="C100" s="17" t="s">
        <v>101</v>
      </c>
      <c r="D100" s="17" t="s">
        <v>53</v>
      </c>
    </row>
    <row r="101" customFormat="false" ht="15" hidden="false" customHeight="false" outlineLevel="0" collapsed="false">
      <c r="A101" s="17" t="n">
        <v>97</v>
      </c>
      <c r="B101" s="18" t="s">
        <v>442</v>
      </c>
      <c r="C101" s="17" t="s">
        <v>101</v>
      </c>
      <c r="D101" s="17" t="s">
        <v>53</v>
      </c>
    </row>
    <row r="102" customFormat="false" ht="15" hidden="false" customHeight="false" outlineLevel="0" collapsed="false">
      <c r="A102" s="17" t="n">
        <v>98</v>
      </c>
      <c r="B102" s="18" t="s">
        <v>447</v>
      </c>
      <c r="C102" s="17" t="s">
        <v>101</v>
      </c>
      <c r="D102" s="17" t="s">
        <v>139</v>
      </c>
    </row>
    <row r="103" customFormat="false" ht="15" hidden="false" customHeight="false" outlineLevel="0" collapsed="false">
      <c r="A103" s="17" t="n">
        <v>99</v>
      </c>
      <c r="B103" s="18" t="s">
        <v>440</v>
      </c>
      <c r="C103" s="17" t="s">
        <v>101</v>
      </c>
      <c r="D103" s="17" t="s">
        <v>139</v>
      </c>
    </row>
    <row r="104" customFormat="false" ht="15" hidden="false" customHeight="false" outlineLevel="0" collapsed="false">
      <c r="A104" s="17" t="n">
        <v>100</v>
      </c>
      <c r="B104" s="18" t="s">
        <v>259</v>
      </c>
      <c r="C104" s="17" t="s">
        <v>67</v>
      </c>
      <c r="D104" s="17" t="s">
        <v>139</v>
      </c>
    </row>
    <row r="105" customFormat="false" ht="15" hidden="false" customHeight="false" outlineLevel="0" collapsed="false">
      <c r="A105" s="17" t="n">
        <v>101</v>
      </c>
      <c r="B105" s="18" t="s">
        <v>263</v>
      </c>
      <c r="C105" s="17" t="s">
        <v>67</v>
      </c>
      <c r="D105" s="17" t="s">
        <v>53</v>
      </c>
    </row>
    <row r="106" customFormat="false" ht="15" hidden="false" customHeight="false" outlineLevel="0" collapsed="false">
      <c r="A106" s="17" t="n">
        <v>102</v>
      </c>
      <c r="B106" s="18" t="s">
        <v>145</v>
      </c>
      <c r="C106" s="17" t="s">
        <v>50</v>
      </c>
      <c r="D106" s="17" t="s">
        <v>139</v>
      </c>
    </row>
    <row r="107" customFormat="false" ht="15" hidden="false" customHeight="false" outlineLevel="0" collapsed="false">
      <c r="A107" s="17" t="n">
        <v>103</v>
      </c>
      <c r="B107" s="18" t="s">
        <v>143</v>
      </c>
      <c r="C107" s="17" t="s">
        <v>50</v>
      </c>
      <c r="D107" s="17" t="s">
        <v>139</v>
      </c>
    </row>
    <row r="108" customFormat="false" ht="15" hidden="false" customHeight="false" outlineLevel="0" collapsed="false">
      <c r="A108" s="17" t="n">
        <v>104</v>
      </c>
      <c r="B108" s="18" t="s">
        <v>137</v>
      </c>
      <c r="C108" s="17" t="s">
        <v>50</v>
      </c>
      <c r="D108" s="17" t="s">
        <v>139</v>
      </c>
    </row>
    <row r="109" customFormat="false" ht="15" hidden="false" customHeight="false" outlineLevel="0" collapsed="false">
      <c r="A109" s="17" t="n">
        <v>105</v>
      </c>
      <c r="B109" s="18" t="s">
        <v>149</v>
      </c>
      <c r="C109" s="17" t="s">
        <v>50</v>
      </c>
      <c r="D109" s="17" t="s">
        <v>53</v>
      </c>
    </row>
    <row r="110" customFormat="false" ht="15" hidden="false" customHeight="false" outlineLevel="0" collapsed="false">
      <c r="A110" s="17" t="n">
        <v>106</v>
      </c>
      <c r="B110" s="18" t="s">
        <v>166</v>
      </c>
      <c r="C110" s="17" t="s">
        <v>50</v>
      </c>
      <c r="D110" s="17" t="s">
        <v>139</v>
      </c>
    </row>
    <row r="111" customFormat="false" ht="15" hidden="false" customHeight="false" outlineLevel="0" collapsed="false">
      <c r="A111" s="17" t="n">
        <v>107</v>
      </c>
      <c r="B111" s="18" t="s">
        <v>158</v>
      </c>
      <c r="C111" s="17" t="s">
        <v>50</v>
      </c>
      <c r="D111" s="17" t="s">
        <v>139</v>
      </c>
    </row>
    <row r="112" customFormat="false" ht="15" hidden="false" customHeight="false" outlineLevel="0" collapsed="false">
      <c r="A112" s="17" t="n">
        <v>108</v>
      </c>
      <c r="B112" s="18" t="s">
        <v>152</v>
      </c>
      <c r="C112" s="17" t="s">
        <v>50</v>
      </c>
      <c r="D112" s="17" t="s">
        <v>53</v>
      </c>
    </row>
    <row r="113" customFormat="false" ht="15" hidden="false" customHeight="false" outlineLevel="0" collapsed="false">
      <c r="A113" s="17" t="n">
        <v>109</v>
      </c>
      <c r="B113" s="18" t="s">
        <v>161</v>
      </c>
      <c r="C113" s="17" t="s">
        <v>50</v>
      </c>
      <c r="D113" s="17" t="s">
        <v>139</v>
      </c>
    </row>
    <row r="114" customFormat="false" ht="15" hidden="false" customHeight="false" outlineLevel="0" collapsed="false">
      <c r="A114" s="17" t="n">
        <v>110</v>
      </c>
      <c r="B114" s="18" t="s">
        <v>156</v>
      </c>
      <c r="C114" s="17" t="s">
        <v>50</v>
      </c>
      <c r="D114" s="17" t="s">
        <v>139</v>
      </c>
    </row>
    <row r="115" customFormat="false" ht="15" hidden="false" customHeight="false" outlineLevel="0" collapsed="false">
      <c r="A115" s="17" t="n">
        <v>111</v>
      </c>
      <c r="B115" s="18" t="s">
        <v>168</v>
      </c>
      <c r="C115" s="17" t="s">
        <v>50</v>
      </c>
      <c r="D115" s="17" t="s">
        <v>139</v>
      </c>
    </row>
    <row r="116" customFormat="false" ht="15" hidden="false" customHeight="false" outlineLevel="0" collapsed="false">
      <c r="A116" s="17" t="n">
        <v>112</v>
      </c>
      <c r="B116" s="18" t="s">
        <v>272</v>
      </c>
      <c r="C116" s="17" t="s">
        <v>72</v>
      </c>
      <c r="D116" s="17" t="s">
        <v>139</v>
      </c>
    </row>
    <row r="117" customFormat="false" ht="15" hidden="false" customHeight="false" outlineLevel="0" collapsed="false">
      <c r="A117" s="17" t="n">
        <v>113</v>
      </c>
      <c r="B117" s="18" t="s">
        <v>164</v>
      </c>
      <c r="C117" s="17" t="s">
        <v>50</v>
      </c>
      <c r="D117" s="17" t="s">
        <v>139</v>
      </c>
    </row>
    <row r="118" customFormat="false" ht="15" hidden="false" customHeight="false" outlineLevel="0" collapsed="false">
      <c r="A118" s="17" t="n">
        <v>114</v>
      </c>
      <c r="B118" s="18" t="s">
        <v>452</v>
      </c>
      <c r="C118" s="17" t="s">
        <v>101</v>
      </c>
      <c r="D118" s="17" t="s">
        <v>139</v>
      </c>
    </row>
    <row r="119" customFormat="false" ht="15" hidden="false" customHeight="false" outlineLevel="0" collapsed="false">
      <c r="A119" s="17" t="n">
        <v>115</v>
      </c>
      <c r="B119" s="18" t="s">
        <v>454</v>
      </c>
      <c r="C119" s="17" t="s">
        <v>101</v>
      </c>
      <c r="D119" s="17" t="s">
        <v>139</v>
      </c>
    </row>
    <row r="120" customFormat="false" ht="15" hidden="false" customHeight="false" outlineLevel="0" collapsed="false">
      <c r="A120" s="17" t="n">
        <v>116</v>
      </c>
      <c r="B120" s="18" t="s">
        <v>449</v>
      </c>
      <c r="C120" s="17" t="s">
        <v>101</v>
      </c>
      <c r="D120" s="17" t="s">
        <v>139</v>
      </c>
    </row>
    <row r="121" customFormat="false" ht="15" hidden="false" customHeight="false" outlineLevel="0" collapsed="false">
      <c r="A121" s="17" t="n">
        <v>117</v>
      </c>
      <c r="B121" s="18" t="s">
        <v>417</v>
      </c>
      <c r="C121" s="17" t="s">
        <v>97</v>
      </c>
      <c r="D121" s="17" t="s">
        <v>139</v>
      </c>
    </row>
    <row r="122" customFormat="false" ht="15" hidden="false" customHeight="false" outlineLevel="0" collapsed="false">
      <c r="A122" s="17" t="n">
        <v>118</v>
      </c>
      <c r="B122" s="18" t="s">
        <v>419</v>
      </c>
      <c r="C122" s="17" t="s">
        <v>97</v>
      </c>
      <c r="D122" s="17" t="s">
        <v>139</v>
      </c>
    </row>
    <row r="123" customFormat="false" ht="15" hidden="false" customHeight="false" outlineLevel="0" collapsed="false">
      <c r="A123" s="17" t="n">
        <v>119</v>
      </c>
      <c r="B123" s="18" t="s">
        <v>414</v>
      </c>
      <c r="C123" s="17" t="s">
        <v>97</v>
      </c>
      <c r="D123" s="17" t="s">
        <v>139</v>
      </c>
    </row>
    <row r="124" customFormat="false" ht="15" hidden="false" customHeight="false" outlineLevel="0" collapsed="false">
      <c r="A124" s="17" t="n">
        <v>120</v>
      </c>
      <c r="B124" s="18" t="s">
        <v>411</v>
      </c>
      <c r="C124" s="17" t="s">
        <v>97</v>
      </c>
      <c r="D124" s="17" t="s">
        <v>53</v>
      </c>
    </row>
    <row r="125" customFormat="false" ht="15" hidden="false" customHeight="false" outlineLevel="0" collapsed="false">
      <c r="A125" s="17" t="n">
        <v>121</v>
      </c>
      <c r="B125" s="18" t="s">
        <v>421</v>
      </c>
      <c r="C125" s="17" t="s">
        <v>97</v>
      </c>
      <c r="D125" s="17" t="s">
        <v>53</v>
      </c>
    </row>
    <row r="126" customFormat="false" ht="15" hidden="false" customHeight="false" outlineLevel="0" collapsed="false">
      <c r="A126" s="17" t="n">
        <v>122</v>
      </c>
      <c r="B126" s="18" t="s">
        <v>423</v>
      </c>
      <c r="C126" s="17" t="s">
        <v>97</v>
      </c>
      <c r="D126" s="17" t="s">
        <v>139</v>
      </c>
    </row>
    <row r="127" customFormat="false" ht="15" hidden="false" customHeight="false" outlineLevel="0" collapsed="false">
      <c r="A127" s="17" t="n">
        <v>123</v>
      </c>
      <c r="B127" s="18" t="s">
        <v>407</v>
      </c>
      <c r="C127" s="17" t="s">
        <v>97</v>
      </c>
      <c r="D127" s="17" t="s">
        <v>139</v>
      </c>
    </row>
    <row r="128" customFormat="false" ht="15" hidden="false" customHeight="false" outlineLevel="0" collapsed="false">
      <c r="A128" s="17" t="n">
        <v>124</v>
      </c>
      <c r="B128" s="18" t="s">
        <v>409</v>
      </c>
      <c r="C128" s="17" t="s">
        <v>97</v>
      </c>
      <c r="D128" s="17" t="s">
        <v>139</v>
      </c>
    </row>
    <row r="129" customFormat="false" ht="15" hidden="false" customHeight="false" outlineLevel="0" collapsed="false">
      <c r="A129" s="17" t="n">
        <v>125</v>
      </c>
      <c r="B129" s="18" t="s">
        <v>404</v>
      </c>
      <c r="C129" s="17" t="s">
        <v>97</v>
      </c>
      <c r="D129" s="17" t="s">
        <v>139</v>
      </c>
    </row>
    <row r="130" customFormat="false" ht="15" hidden="false" customHeight="false" outlineLevel="0" collapsed="false">
      <c r="A130" s="17" t="n">
        <v>126</v>
      </c>
      <c r="B130" s="18" t="s">
        <v>471</v>
      </c>
      <c r="C130" s="17" t="s">
        <v>109</v>
      </c>
      <c r="D130" s="17" t="s">
        <v>53</v>
      </c>
    </row>
    <row r="131" customFormat="false" ht="15" hidden="false" customHeight="false" outlineLevel="0" collapsed="false">
      <c r="A131" s="17" t="n">
        <v>127</v>
      </c>
      <c r="B131" s="18" t="s">
        <v>268</v>
      </c>
      <c r="C131" s="17" t="s">
        <v>67</v>
      </c>
      <c r="D131" s="17" t="s">
        <v>53</v>
      </c>
    </row>
    <row r="132" customFormat="false" ht="15" hidden="false" customHeight="false" outlineLevel="0" collapsed="false">
      <c r="A132" s="17" t="n">
        <v>128</v>
      </c>
      <c r="B132" s="18" t="s">
        <v>254</v>
      </c>
      <c r="C132" s="17" t="s">
        <v>67</v>
      </c>
      <c r="D132" s="17" t="s">
        <v>139</v>
      </c>
    </row>
    <row r="133" customFormat="false" ht="15" hidden="false" customHeight="false" outlineLevel="0" collapsed="false">
      <c r="A133" s="17" t="n">
        <v>129</v>
      </c>
      <c r="B133" s="18" t="s">
        <v>257</v>
      </c>
      <c r="C133" s="17" t="s">
        <v>67</v>
      </c>
      <c r="D133" s="17" t="s">
        <v>139</v>
      </c>
    </row>
    <row r="134" customFormat="false" ht="15" hidden="false" customHeight="false" outlineLevel="0" collapsed="false">
      <c r="A134" s="17" t="n">
        <v>130</v>
      </c>
      <c r="B134" s="18" t="s">
        <v>250</v>
      </c>
      <c r="C134" s="17" t="s">
        <v>67</v>
      </c>
      <c r="D134" s="17" t="s">
        <v>139</v>
      </c>
    </row>
    <row r="135" customFormat="false" ht="15" hidden="false" customHeight="false" outlineLevel="0" collapsed="false">
      <c r="A135" s="17" t="n">
        <v>131</v>
      </c>
      <c r="B135" s="18" t="s">
        <v>265</v>
      </c>
      <c r="C135" s="17" t="s">
        <v>67</v>
      </c>
      <c r="D135" s="17" t="s">
        <v>139</v>
      </c>
    </row>
    <row r="137" customFormat="false" ht="15" hidden="false" customHeight="false" outlineLevel="0" collapsed="false">
      <c r="B137" s="4" t="s">
        <v>591</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10"/>
    <col collapsed="false" customWidth="true" hidden="false" outlineLevel="0" max="4" min="4" style="0" width="9"/>
  </cols>
  <sheetData>
    <row r="1" customFormat="false" ht="16.15" hidden="false" customHeight="false" outlineLevel="0" collapsed="false">
      <c r="A1" s="1" t="s">
        <v>35</v>
      </c>
    </row>
    <row r="2" customFormat="false" ht="30" hidden="false" customHeight="true" outlineLevel="0" collapsed="false">
      <c r="A2" s="6" t="s">
        <v>592</v>
      </c>
      <c r="B2" s="6"/>
      <c r="C2" s="6"/>
      <c r="D2" s="6"/>
    </row>
    <row r="4" customFormat="false" ht="31.5" hidden="false" customHeight="true" outlineLevel="0" collapsed="false">
      <c r="A4" s="7" t="s">
        <v>590</v>
      </c>
      <c r="B4" s="7" t="s">
        <v>127</v>
      </c>
      <c r="C4" s="7" t="s">
        <v>43</v>
      </c>
      <c r="D4" s="7" t="s">
        <v>46</v>
      </c>
    </row>
    <row r="5" customFormat="false" ht="15" hidden="false" customHeight="false" outlineLevel="0" collapsed="false">
      <c r="A5" s="17" t="n">
        <v>1</v>
      </c>
      <c r="B5" s="18" t="s">
        <v>247</v>
      </c>
      <c r="C5" s="17" t="s">
        <v>67</v>
      </c>
      <c r="D5" s="17" t="s">
        <v>139</v>
      </c>
    </row>
    <row r="6" customFormat="false" ht="15" hidden="false" customHeight="false" outlineLevel="0" collapsed="false">
      <c r="A6" s="17" t="n">
        <v>2</v>
      </c>
      <c r="B6" s="18" t="s">
        <v>294</v>
      </c>
      <c r="C6" s="17" t="s">
        <v>72</v>
      </c>
      <c r="D6" s="17" t="s">
        <v>139</v>
      </c>
    </row>
    <row r="7" customFormat="false" ht="15" hidden="false" customHeight="false" outlineLevel="0" collapsed="false">
      <c r="A7" s="17" t="n">
        <v>3</v>
      </c>
      <c r="B7" s="18" t="s">
        <v>400</v>
      </c>
      <c r="C7" s="17" t="s">
        <v>93</v>
      </c>
      <c r="D7" s="17" t="s">
        <v>139</v>
      </c>
    </row>
    <row r="8" customFormat="false" ht="15" hidden="false" customHeight="false" outlineLevel="0" collapsed="false">
      <c r="A8" s="17" t="n">
        <v>4</v>
      </c>
      <c r="B8" s="18" t="s">
        <v>464</v>
      </c>
      <c r="C8" s="17" t="s">
        <v>101</v>
      </c>
      <c r="D8" s="17" t="s">
        <v>139</v>
      </c>
    </row>
    <row r="9" customFormat="false" ht="15" hidden="false" customHeight="false" outlineLevel="0" collapsed="false">
      <c r="A9" s="17" t="n">
        <v>5</v>
      </c>
      <c r="B9" s="18" t="s">
        <v>456</v>
      </c>
      <c r="C9" s="17" t="s">
        <v>101</v>
      </c>
      <c r="D9" s="17" t="s">
        <v>53</v>
      </c>
    </row>
    <row r="10" customFormat="false" ht="15" hidden="false" customHeight="false" outlineLevel="0" collapsed="false">
      <c r="A10" s="17" t="n">
        <v>6</v>
      </c>
      <c r="B10" s="18" t="s">
        <v>459</v>
      </c>
      <c r="C10" s="17" t="s">
        <v>101</v>
      </c>
      <c r="D10" s="17" t="s">
        <v>187</v>
      </c>
    </row>
    <row r="11" customFormat="false" ht="15" hidden="false" customHeight="false" outlineLevel="0" collapsed="false">
      <c r="A11" s="17" t="n">
        <v>7</v>
      </c>
      <c r="B11" s="18" t="s">
        <v>261</v>
      </c>
      <c r="C11" s="17" t="s">
        <v>67</v>
      </c>
      <c r="D11" s="17" t="s">
        <v>139</v>
      </c>
    </row>
    <row r="12" customFormat="false" ht="15" hidden="false" customHeight="false" outlineLevel="0" collapsed="false">
      <c r="A12" s="17" t="n">
        <v>8</v>
      </c>
      <c r="B12" s="18" t="s">
        <v>462</v>
      </c>
      <c r="C12" s="17" t="s">
        <v>101</v>
      </c>
      <c r="D12" s="17" t="s">
        <v>187</v>
      </c>
    </row>
    <row r="13" customFormat="false" ht="15" hidden="false" customHeight="false" outlineLevel="0" collapsed="false">
      <c r="A13" s="17" t="n">
        <v>9</v>
      </c>
      <c r="B13" s="18" t="s">
        <v>182</v>
      </c>
      <c r="C13" s="17" t="s">
        <v>56</v>
      </c>
      <c r="D13" s="17" t="s">
        <v>59</v>
      </c>
    </row>
    <row r="14" customFormat="false" ht="15" hidden="false" customHeight="false" outlineLevel="0" collapsed="false">
      <c r="A14" s="17" t="n">
        <v>10</v>
      </c>
      <c r="B14" s="18" t="s">
        <v>299</v>
      </c>
      <c r="C14" s="17" t="s">
        <v>72</v>
      </c>
      <c r="D14" s="17" t="s">
        <v>53</v>
      </c>
    </row>
    <row r="15" customFormat="false" ht="15" hidden="false" customHeight="false" outlineLevel="0" collapsed="false">
      <c r="A15" s="17" t="n">
        <v>11</v>
      </c>
      <c r="B15" s="18" t="s">
        <v>427</v>
      </c>
      <c r="C15" s="17" t="s">
        <v>105</v>
      </c>
      <c r="D15" s="17" t="s">
        <v>139</v>
      </c>
    </row>
    <row r="16" customFormat="false" ht="15" hidden="false" customHeight="false" outlineLevel="0" collapsed="false">
      <c r="A16" s="17" t="n">
        <v>12</v>
      </c>
      <c r="B16" s="18" t="s">
        <v>435</v>
      </c>
      <c r="C16" s="17" t="s">
        <v>105</v>
      </c>
      <c r="D16" s="17" t="s">
        <v>139</v>
      </c>
    </row>
    <row r="17" customFormat="false" ht="15" hidden="false" customHeight="false" outlineLevel="0" collapsed="false">
      <c r="A17" s="17" t="n">
        <v>13</v>
      </c>
      <c r="B17" s="18" t="s">
        <v>430</v>
      </c>
      <c r="C17" s="17" t="s">
        <v>105</v>
      </c>
      <c r="D17" s="17" t="s">
        <v>139</v>
      </c>
    </row>
    <row r="18" customFormat="false" ht="15" hidden="false" customHeight="false" outlineLevel="0" collapsed="false">
      <c r="A18" s="17" t="n">
        <v>14</v>
      </c>
      <c r="B18" s="18" t="s">
        <v>433</v>
      </c>
      <c r="C18" s="17" t="s">
        <v>105</v>
      </c>
      <c r="D18" s="17" t="s">
        <v>53</v>
      </c>
    </row>
    <row r="19" customFormat="false" ht="15" hidden="false" customHeight="false" outlineLevel="0" collapsed="false">
      <c r="A19" s="17" t="n">
        <v>15</v>
      </c>
      <c r="B19" s="18" t="s">
        <v>302</v>
      </c>
      <c r="C19" s="17" t="s">
        <v>72</v>
      </c>
      <c r="D19" s="17" t="s">
        <v>53</v>
      </c>
    </row>
    <row r="20" customFormat="false" ht="15" hidden="false" customHeight="false" outlineLevel="0" collapsed="false">
      <c r="A20" s="17" t="n">
        <v>16</v>
      </c>
      <c r="B20" s="18" t="s">
        <v>305</v>
      </c>
      <c r="C20" s="17" t="s">
        <v>72</v>
      </c>
      <c r="D20" s="17" t="s">
        <v>53</v>
      </c>
    </row>
    <row r="21" customFormat="false" ht="15" hidden="false" customHeight="false" outlineLevel="0" collapsed="false">
      <c r="A21" s="17" t="n">
        <v>17</v>
      </c>
      <c r="B21" s="18" t="s">
        <v>497</v>
      </c>
      <c r="C21" s="17" t="s">
        <v>114</v>
      </c>
      <c r="D21" s="17" t="s">
        <v>139</v>
      </c>
    </row>
    <row r="22" customFormat="false" ht="15" hidden="false" customHeight="false" outlineLevel="0" collapsed="false">
      <c r="A22" s="17" t="n">
        <v>18</v>
      </c>
      <c r="B22" s="18" t="s">
        <v>487</v>
      </c>
      <c r="C22" s="17" t="s">
        <v>114</v>
      </c>
      <c r="D22" s="17" t="s">
        <v>139</v>
      </c>
    </row>
    <row r="23" customFormat="false" ht="15" hidden="false" customHeight="false" outlineLevel="0" collapsed="false">
      <c r="A23" s="17" t="n">
        <v>19</v>
      </c>
      <c r="B23" s="18" t="s">
        <v>499</v>
      </c>
      <c r="C23" s="17" t="s">
        <v>114</v>
      </c>
      <c r="D23" s="17" t="s">
        <v>139</v>
      </c>
    </row>
    <row r="24" customFormat="false" ht="15" hidden="false" customHeight="false" outlineLevel="0" collapsed="false">
      <c r="A24" s="17" t="n">
        <v>20</v>
      </c>
      <c r="B24" s="18" t="s">
        <v>489</v>
      </c>
      <c r="C24" s="17" t="s">
        <v>114</v>
      </c>
      <c r="D24" s="17" t="s">
        <v>139</v>
      </c>
    </row>
    <row r="25" customFormat="false" ht="15" hidden="false" customHeight="false" outlineLevel="0" collapsed="false">
      <c r="A25" s="17" t="n">
        <v>21</v>
      </c>
      <c r="B25" s="18" t="s">
        <v>492</v>
      </c>
      <c r="C25" s="17" t="s">
        <v>114</v>
      </c>
      <c r="D25" s="17" t="s">
        <v>139</v>
      </c>
    </row>
    <row r="26" customFormat="false" ht="15" hidden="false" customHeight="false" outlineLevel="0" collapsed="false">
      <c r="A26" s="17" t="n">
        <v>22</v>
      </c>
      <c r="B26" s="18" t="s">
        <v>495</v>
      </c>
      <c r="C26" s="17" t="s">
        <v>114</v>
      </c>
      <c r="D26" s="17" t="s">
        <v>139</v>
      </c>
    </row>
    <row r="27" customFormat="false" ht="15" hidden="false" customHeight="false" outlineLevel="0" collapsed="false">
      <c r="A27" s="17" t="n">
        <v>23</v>
      </c>
      <c r="B27" s="18" t="s">
        <v>310</v>
      </c>
      <c r="C27" s="17" t="s">
        <v>77</v>
      </c>
      <c r="D27" s="17" t="s">
        <v>139</v>
      </c>
    </row>
    <row r="28" customFormat="false" ht="15" hidden="false" customHeight="false" outlineLevel="0" collapsed="false">
      <c r="A28" s="17" t="n">
        <v>24</v>
      </c>
      <c r="B28" s="18" t="s">
        <v>312</v>
      </c>
      <c r="C28" s="17" t="s">
        <v>77</v>
      </c>
      <c r="D28" s="17" t="s">
        <v>139</v>
      </c>
    </row>
    <row r="29" customFormat="false" ht="15" hidden="false" customHeight="false" outlineLevel="0" collapsed="false">
      <c r="A29" s="17" t="n">
        <v>25</v>
      </c>
      <c r="B29" s="18" t="s">
        <v>308</v>
      </c>
      <c r="C29" s="17" t="s">
        <v>77</v>
      </c>
      <c r="D29" s="17" t="s">
        <v>139</v>
      </c>
    </row>
    <row r="30" customFormat="false" ht="15" hidden="false" customHeight="false" outlineLevel="0" collapsed="false">
      <c r="A30" s="17" t="n">
        <v>26</v>
      </c>
      <c r="B30" s="18" t="s">
        <v>315</v>
      </c>
      <c r="C30" s="17" t="s">
        <v>77</v>
      </c>
      <c r="D30" s="17" t="s">
        <v>53</v>
      </c>
    </row>
    <row r="31" customFormat="false" ht="15" hidden="false" customHeight="false" outlineLevel="0" collapsed="false">
      <c r="A31" s="17" t="n">
        <v>27</v>
      </c>
      <c r="B31" s="18" t="s">
        <v>318</v>
      </c>
      <c r="C31" s="17" t="s">
        <v>77</v>
      </c>
      <c r="D31" s="17" t="s">
        <v>53</v>
      </c>
    </row>
    <row r="32" customFormat="false" ht="15" hidden="false" customHeight="false" outlineLevel="0" collapsed="false">
      <c r="A32" s="17" t="n">
        <v>28</v>
      </c>
      <c r="B32" s="18" t="s">
        <v>321</v>
      </c>
      <c r="C32" s="17" t="s">
        <v>77</v>
      </c>
      <c r="D32" s="17" t="s">
        <v>139</v>
      </c>
    </row>
    <row r="33" customFormat="false" ht="15" hidden="false" customHeight="false" outlineLevel="0" collapsed="false">
      <c r="A33" s="17" t="n">
        <v>29</v>
      </c>
      <c r="B33" s="18" t="s">
        <v>501</v>
      </c>
      <c r="C33" s="17" t="s">
        <v>114</v>
      </c>
      <c r="D33" s="17" t="s">
        <v>139</v>
      </c>
    </row>
    <row r="34" customFormat="false" ht="15" hidden="false" customHeight="false" outlineLevel="0" collapsed="false">
      <c r="A34" s="17" t="n">
        <v>30</v>
      </c>
      <c r="B34" s="18" t="s">
        <v>484</v>
      </c>
      <c r="C34" s="17" t="s">
        <v>114</v>
      </c>
      <c r="D34" s="17" t="s">
        <v>53</v>
      </c>
    </row>
    <row r="35" customFormat="false" ht="15" hidden="false" customHeight="false" outlineLevel="0" collapsed="false">
      <c r="A35" s="17" t="n">
        <v>31</v>
      </c>
      <c r="B35" s="18" t="s">
        <v>275</v>
      </c>
      <c r="C35" s="17" t="s">
        <v>72</v>
      </c>
      <c r="D35" s="17" t="s">
        <v>139</v>
      </c>
    </row>
    <row r="36" customFormat="false" ht="15" hidden="false" customHeight="false" outlineLevel="0" collapsed="false">
      <c r="A36" s="17" t="n">
        <v>32</v>
      </c>
      <c r="B36" s="18" t="s">
        <v>283</v>
      </c>
      <c r="C36" s="17" t="s">
        <v>72</v>
      </c>
      <c r="D36" s="17" t="s">
        <v>139</v>
      </c>
    </row>
    <row r="37" customFormat="false" ht="15" hidden="false" customHeight="false" outlineLevel="0" collapsed="false">
      <c r="A37" s="17" t="n">
        <v>33</v>
      </c>
      <c r="B37" s="18" t="s">
        <v>277</v>
      </c>
      <c r="C37" s="17" t="s">
        <v>72</v>
      </c>
      <c r="D37" s="17" t="s">
        <v>187</v>
      </c>
    </row>
    <row r="38" customFormat="false" ht="15" hidden="false" customHeight="false" outlineLevel="0" collapsed="false">
      <c r="A38" s="17" t="n">
        <v>34</v>
      </c>
      <c r="B38" s="18" t="s">
        <v>280</v>
      </c>
      <c r="C38" s="17" t="s">
        <v>72</v>
      </c>
      <c r="D38" s="17" t="s">
        <v>187</v>
      </c>
    </row>
    <row r="39" customFormat="false" ht="15" hidden="false" customHeight="false" outlineLevel="0" collapsed="false">
      <c r="A39" s="17" t="n">
        <v>35</v>
      </c>
      <c r="B39" s="18" t="s">
        <v>288</v>
      </c>
      <c r="C39" s="17" t="s">
        <v>72</v>
      </c>
      <c r="D39" s="17" t="s">
        <v>53</v>
      </c>
    </row>
    <row r="40" customFormat="false" ht="15" hidden="false" customHeight="false" outlineLevel="0" collapsed="false">
      <c r="A40" s="17" t="n">
        <v>36</v>
      </c>
      <c r="B40" s="18" t="s">
        <v>291</v>
      </c>
      <c r="C40" s="17" t="s">
        <v>72</v>
      </c>
      <c r="D40" s="17" t="s">
        <v>187</v>
      </c>
    </row>
    <row r="41" customFormat="false" ht="15" hidden="false" customHeight="false" outlineLevel="0" collapsed="false">
      <c r="A41" s="17" t="n">
        <v>37</v>
      </c>
      <c r="B41" s="18" t="s">
        <v>285</v>
      </c>
      <c r="C41" s="17" t="s">
        <v>72</v>
      </c>
      <c r="D41" s="17" t="s">
        <v>53</v>
      </c>
    </row>
    <row r="42" customFormat="false" ht="15" hidden="false" customHeight="false" outlineLevel="0" collapsed="false">
      <c r="A42" s="17" t="n">
        <v>38</v>
      </c>
      <c r="B42" s="18" t="s">
        <v>503</v>
      </c>
      <c r="C42" s="17" t="s">
        <v>114</v>
      </c>
      <c r="D42" s="17" t="s">
        <v>139</v>
      </c>
    </row>
    <row r="43" customFormat="false" ht="15" hidden="false" customHeight="false" outlineLevel="0" collapsed="false">
      <c r="A43" s="17" t="n">
        <v>39</v>
      </c>
      <c r="B43" s="18" t="s">
        <v>323</v>
      </c>
      <c r="C43" s="17" t="s">
        <v>77</v>
      </c>
      <c r="D43" s="17" t="s">
        <v>139</v>
      </c>
    </row>
    <row r="44" customFormat="false" ht="15" hidden="false" customHeight="false" outlineLevel="0" collapsed="false">
      <c r="A44" s="17" t="n">
        <v>40</v>
      </c>
      <c r="B44" s="18" t="s">
        <v>296</v>
      </c>
      <c r="C44" s="17" t="s">
        <v>72</v>
      </c>
      <c r="D44" s="17" t="s">
        <v>187</v>
      </c>
    </row>
    <row r="45" customFormat="false" ht="15" hidden="false" customHeight="false" outlineLevel="0" collapsed="false">
      <c r="A45" s="17" t="n">
        <v>41</v>
      </c>
      <c r="B45" s="18" t="s">
        <v>326</v>
      </c>
      <c r="C45" s="17" t="s">
        <v>77</v>
      </c>
      <c r="D45" s="17" t="s">
        <v>139</v>
      </c>
    </row>
    <row r="46" customFormat="false" ht="15" hidden="false" customHeight="false" outlineLevel="0" collapsed="false">
      <c r="A46" s="17" t="n">
        <v>42</v>
      </c>
      <c r="B46" s="18" t="s">
        <v>332</v>
      </c>
      <c r="C46" s="17" t="s">
        <v>81</v>
      </c>
      <c r="D46" s="17" t="s">
        <v>139</v>
      </c>
    </row>
    <row r="47" customFormat="false" ht="15" hidden="false" customHeight="false" outlineLevel="0" collapsed="false">
      <c r="A47" s="17" t="n">
        <v>43</v>
      </c>
      <c r="B47" s="18" t="s">
        <v>334</v>
      </c>
      <c r="C47" s="17" t="s">
        <v>81</v>
      </c>
      <c r="D47" s="17" t="s">
        <v>139</v>
      </c>
    </row>
    <row r="48" customFormat="false" ht="15" hidden="false" customHeight="false" outlineLevel="0" collapsed="false">
      <c r="A48" s="17" t="n">
        <v>44</v>
      </c>
      <c r="B48" s="18" t="s">
        <v>330</v>
      </c>
      <c r="C48" s="17" t="s">
        <v>81</v>
      </c>
      <c r="D48" s="17" t="s">
        <v>139</v>
      </c>
    </row>
    <row r="49" customFormat="false" ht="15" hidden="false" customHeight="false" outlineLevel="0" collapsed="false">
      <c r="A49" s="17" t="n">
        <v>45</v>
      </c>
      <c r="B49" s="18" t="s">
        <v>336</v>
      </c>
      <c r="C49" s="17" t="s">
        <v>81</v>
      </c>
      <c r="D49" s="17" t="s">
        <v>53</v>
      </c>
    </row>
    <row r="50" customFormat="false" ht="15" hidden="false" customHeight="false" outlineLevel="0" collapsed="false">
      <c r="A50" s="17" t="n">
        <v>46</v>
      </c>
      <c r="B50" s="18" t="s">
        <v>338</v>
      </c>
      <c r="C50" s="17" t="s">
        <v>81</v>
      </c>
      <c r="D50" s="17" t="s">
        <v>139</v>
      </c>
    </row>
    <row r="51" customFormat="false" ht="15" hidden="false" customHeight="false" outlineLevel="0" collapsed="false">
      <c r="A51" s="17" t="n">
        <v>47</v>
      </c>
      <c r="B51" s="18" t="s">
        <v>340</v>
      </c>
      <c r="C51" s="17" t="s">
        <v>81</v>
      </c>
      <c r="D51" s="17" t="s">
        <v>53</v>
      </c>
    </row>
    <row r="52" customFormat="false" ht="15" hidden="false" customHeight="false" outlineLevel="0" collapsed="false">
      <c r="A52" s="17" t="n">
        <v>48</v>
      </c>
      <c r="B52" s="18" t="s">
        <v>192</v>
      </c>
      <c r="C52" s="17" t="s">
        <v>62</v>
      </c>
      <c r="D52" s="17" t="s">
        <v>139</v>
      </c>
    </row>
    <row r="53" customFormat="false" ht="15" hidden="false" customHeight="false" outlineLevel="0" collapsed="false">
      <c r="A53" s="17" t="n">
        <v>49</v>
      </c>
      <c r="B53" s="18" t="s">
        <v>190</v>
      </c>
      <c r="C53" s="17" t="s">
        <v>62</v>
      </c>
      <c r="D53" s="17" t="s">
        <v>139</v>
      </c>
    </row>
    <row r="54" customFormat="false" ht="15" hidden="false" customHeight="false" outlineLevel="0" collapsed="false">
      <c r="A54" s="17" t="n">
        <v>50</v>
      </c>
      <c r="B54" s="18" t="s">
        <v>196</v>
      </c>
      <c r="C54" s="17" t="s">
        <v>62</v>
      </c>
      <c r="D54" s="17" t="s">
        <v>139</v>
      </c>
    </row>
    <row r="55" customFormat="false" ht="15" hidden="false" customHeight="false" outlineLevel="0" collapsed="false">
      <c r="A55" s="17" t="n">
        <v>51</v>
      </c>
      <c r="B55" s="18" t="s">
        <v>194</v>
      </c>
      <c r="C55" s="17" t="s">
        <v>62</v>
      </c>
      <c r="D55" s="17" t="s">
        <v>53</v>
      </c>
    </row>
    <row r="56" customFormat="false" ht="15" hidden="false" customHeight="false" outlineLevel="0" collapsed="false">
      <c r="A56" s="17" t="n">
        <v>52</v>
      </c>
      <c r="B56" s="18" t="s">
        <v>202</v>
      </c>
      <c r="C56" s="17" t="s">
        <v>62</v>
      </c>
      <c r="D56" s="17" t="s">
        <v>139</v>
      </c>
    </row>
    <row r="57" customFormat="false" ht="15" hidden="false" customHeight="false" outlineLevel="0" collapsed="false">
      <c r="A57" s="17" t="n">
        <v>53</v>
      </c>
      <c r="B57" s="18" t="s">
        <v>204</v>
      </c>
      <c r="C57" s="17" t="s">
        <v>62</v>
      </c>
      <c r="D57" s="17" t="s">
        <v>139</v>
      </c>
    </row>
    <row r="58" customFormat="false" ht="15" hidden="false" customHeight="false" outlineLevel="0" collapsed="false">
      <c r="A58" s="17" t="n">
        <v>54</v>
      </c>
      <c r="B58" s="18" t="s">
        <v>199</v>
      </c>
      <c r="C58" s="17" t="s">
        <v>62</v>
      </c>
      <c r="D58" s="17" t="s">
        <v>139</v>
      </c>
    </row>
    <row r="59" customFormat="false" ht="15" hidden="false" customHeight="false" outlineLevel="0" collapsed="false">
      <c r="A59" s="17" t="n">
        <v>55</v>
      </c>
      <c r="B59" s="18" t="s">
        <v>209</v>
      </c>
      <c r="C59" s="17" t="s">
        <v>62</v>
      </c>
      <c r="D59" s="17" t="s">
        <v>53</v>
      </c>
    </row>
    <row r="60" customFormat="false" ht="15" hidden="false" customHeight="false" outlineLevel="0" collapsed="false">
      <c r="A60" s="17" t="n">
        <v>56</v>
      </c>
      <c r="B60" s="18" t="s">
        <v>206</v>
      </c>
      <c r="C60" s="17" t="s">
        <v>62</v>
      </c>
      <c r="D60" s="17" t="s">
        <v>53</v>
      </c>
    </row>
    <row r="61" customFormat="false" ht="15" hidden="false" customHeight="false" outlineLevel="0" collapsed="false">
      <c r="A61" s="17" t="n">
        <v>57</v>
      </c>
      <c r="B61" s="18" t="s">
        <v>211</v>
      </c>
      <c r="C61" s="17" t="s">
        <v>62</v>
      </c>
      <c r="D61" s="17" t="s">
        <v>187</v>
      </c>
    </row>
    <row r="62" customFormat="false" ht="15" hidden="false" customHeight="false" outlineLevel="0" collapsed="false">
      <c r="A62" s="17" t="n">
        <v>58</v>
      </c>
      <c r="B62" s="18" t="s">
        <v>367</v>
      </c>
      <c r="C62" s="17" t="s">
        <v>89</v>
      </c>
      <c r="D62" s="17" t="s">
        <v>139</v>
      </c>
    </row>
    <row r="63" customFormat="false" ht="15" hidden="false" customHeight="false" outlineLevel="0" collapsed="false">
      <c r="A63" s="17" t="n">
        <v>59</v>
      </c>
      <c r="B63" s="18" t="s">
        <v>369</v>
      </c>
      <c r="C63" s="17" t="s">
        <v>89</v>
      </c>
      <c r="D63" s="17" t="s">
        <v>139</v>
      </c>
    </row>
    <row r="64" customFormat="false" ht="15" hidden="false" customHeight="false" outlineLevel="0" collapsed="false">
      <c r="A64" s="17" t="n">
        <v>60</v>
      </c>
      <c r="B64" s="18" t="s">
        <v>364</v>
      </c>
      <c r="C64" s="17" t="s">
        <v>89</v>
      </c>
      <c r="D64" s="17" t="s">
        <v>139</v>
      </c>
    </row>
    <row r="65" customFormat="false" ht="15" hidden="false" customHeight="false" outlineLevel="0" collapsed="false">
      <c r="A65" s="17" t="n">
        <v>61</v>
      </c>
      <c r="B65" s="18" t="s">
        <v>382</v>
      </c>
      <c r="C65" s="17" t="s">
        <v>89</v>
      </c>
      <c r="D65" s="17" t="s">
        <v>139</v>
      </c>
    </row>
    <row r="66" customFormat="false" ht="15" hidden="false" customHeight="false" outlineLevel="0" collapsed="false">
      <c r="A66" s="17" t="n">
        <v>62</v>
      </c>
      <c r="B66" s="18" t="s">
        <v>384</v>
      </c>
      <c r="C66" s="17" t="s">
        <v>89</v>
      </c>
      <c r="D66" s="17" t="s">
        <v>139</v>
      </c>
    </row>
    <row r="67" customFormat="false" ht="15" hidden="false" customHeight="false" outlineLevel="0" collapsed="false">
      <c r="A67" s="17" t="n">
        <v>63</v>
      </c>
      <c r="B67" s="18" t="s">
        <v>393</v>
      </c>
      <c r="C67" s="17" t="s">
        <v>93</v>
      </c>
      <c r="D67" s="17" t="s">
        <v>53</v>
      </c>
    </row>
    <row r="68" customFormat="false" ht="15" hidden="false" customHeight="false" outlineLevel="0" collapsed="false">
      <c r="A68" s="17" t="n">
        <v>64</v>
      </c>
      <c r="B68" s="18" t="s">
        <v>380</v>
      </c>
      <c r="C68" s="17" t="s">
        <v>89</v>
      </c>
      <c r="D68" s="17" t="s">
        <v>53</v>
      </c>
    </row>
    <row r="69" customFormat="false" ht="15" hidden="false" customHeight="false" outlineLevel="0" collapsed="false">
      <c r="A69" s="17" t="n">
        <v>65</v>
      </c>
      <c r="B69" s="18" t="s">
        <v>375</v>
      </c>
      <c r="C69" s="17" t="s">
        <v>89</v>
      </c>
      <c r="D69" s="17" t="s">
        <v>53</v>
      </c>
    </row>
    <row r="70" customFormat="false" ht="15" hidden="false" customHeight="false" outlineLevel="0" collapsed="false">
      <c r="A70" s="17" t="n">
        <v>66</v>
      </c>
      <c r="B70" s="18" t="s">
        <v>373</v>
      </c>
      <c r="C70" s="17" t="s">
        <v>89</v>
      </c>
      <c r="D70" s="17" t="s">
        <v>53</v>
      </c>
    </row>
    <row r="71" customFormat="false" ht="15" hidden="false" customHeight="false" outlineLevel="0" collapsed="false">
      <c r="A71" s="17" t="n">
        <v>67</v>
      </c>
      <c r="B71" s="18" t="s">
        <v>371</v>
      </c>
      <c r="C71" s="17" t="s">
        <v>89</v>
      </c>
      <c r="D71" s="17" t="s">
        <v>53</v>
      </c>
    </row>
    <row r="72" customFormat="false" ht="15" hidden="false" customHeight="false" outlineLevel="0" collapsed="false">
      <c r="A72" s="17" t="n">
        <v>68</v>
      </c>
      <c r="B72" s="18" t="s">
        <v>377</v>
      </c>
      <c r="C72" s="17" t="s">
        <v>89</v>
      </c>
      <c r="D72" s="17" t="s">
        <v>53</v>
      </c>
    </row>
    <row r="73" customFormat="false" ht="15" hidden="false" customHeight="false" outlineLevel="0" collapsed="false">
      <c r="A73" s="17" t="n">
        <v>69</v>
      </c>
      <c r="B73" s="18" t="s">
        <v>217</v>
      </c>
      <c r="C73" s="17" t="s">
        <v>62</v>
      </c>
      <c r="D73" s="17" t="s">
        <v>139</v>
      </c>
    </row>
    <row r="74" customFormat="false" ht="15" hidden="false" customHeight="false" outlineLevel="0" collapsed="false">
      <c r="A74" s="17" t="n">
        <v>70</v>
      </c>
      <c r="B74" s="18" t="s">
        <v>219</v>
      </c>
      <c r="C74" s="17" t="s">
        <v>62</v>
      </c>
      <c r="D74" s="17" t="s">
        <v>139</v>
      </c>
    </row>
    <row r="75" customFormat="false" ht="15" hidden="false" customHeight="false" outlineLevel="0" collapsed="false">
      <c r="A75" s="17" t="n">
        <v>71</v>
      </c>
      <c r="B75" s="18" t="s">
        <v>215</v>
      </c>
      <c r="C75" s="17" t="s">
        <v>62</v>
      </c>
      <c r="D75" s="17" t="s">
        <v>139</v>
      </c>
    </row>
    <row r="76" customFormat="false" ht="15" hidden="false" customHeight="false" outlineLevel="0" collapsed="false">
      <c r="A76" s="17" t="n">
        <v>72</v>
      </c>
      <c r="B76" s="18" t="s">
        <v>228</v>
      </c>
      <c r="C76" s="17" t="s">
        <v>62</v>
      </c>
      <c r="D76" s="17" t="s">
        <v>139</v>
      </c>
    </row>
    <row r="77" customFormat="false" ht="15" hidden="false" customHeight="false" outlineLevel="0" collapsed="false">
      <c r="A77" s="17" t="n">
        <v>73</v>
      </c>
      <c r="B77" s="18" t="s">
        <v>221</v>
      </c>
      <c r="C77" s="17" t="s">
        <v>62</v>
      </c>
      <c r="D77" s="17" t="s">
        <v>53</v>
      </c>
    </row>
    <row r="78" customFormat="false" ht="15" hidden="false" customHeight="false" outlineLevel="0" collapsed="false">
      <c r="A78" s="17" t="n">
        <v>74</v>
      </c>
      <c r="B78" s="18" t="s">
        <v>223</v>
      </c>
      <c r="C78" s="17" t="s">
        <v>62</v>
      </c>
      <c r="D78" s="17" t="s">
        <v>53</v>
      </c>
    </row>
    <row r="79" customFormat="false" ht="15" hidden="false" customHeight="false" outlineLevel="0" collapsed="false">
      <c r="A79" s="17" t="n">
        <v>75</v>
      </c>
      <c r="B79" s="18" t="s">
        <v>225</v>
      </c>
      <c r="C79" s="17" t="s">
        <v>62</v>
      </c>
      <c r="D79" s="17" t="s">
        <v>53</v>
      </c>
    </row>
    <row r="80" customFormat="false" ht="15" hidden="false" customHeight="false" outlineLevel="0" collapsed="false">
      <c r="A80" s="17" t="n">
        <v>76</v>
      </c>
      <c r="B80" s="18" t="s">
        <v>346</v>
      </c>
      <c r="C80" s="17" t="s">
        <v>85</v>
      </c>
      <c r="D80" s="17" t="s">
        <v>139</v>
      </c>
    </row>
    <row r="81" customFormat="false" ht="15" hidden="false" customHeight="false" outlineLevel="0" collapsed="false">
      <c r="A81" s="17" t="n">
        <v>77</v>
      </c>
      <c r="B81" s="18" t="s">
        <v>348</v>
      </c>
      <c r="C81" s="17" t="s">
        <v>85</v>
      </c>
      <c r="D81" s="17" t="s">
        <v>139</v>
      </c>
    </row>
    <row r="82" customFormat="false" ht="15" hidden="false" customHeight="false" outlineLevel="0" collapsed="false">
      <c r="A82" s="17" t="n">
        <v>78</v>
      </c>
      <c r="B82" s="18" t="s">
        <v>343</v>
      </c>
      <c r="C82" s="17" t="s">
        <v>85</v>
      </c>
      <c r="D82" s="17" t="s">
        <v>139</v>
      </c>
    </row>
    <row r="83" customFormat="false" ht="15" hidden="false" customHeight="false" outlineLevel="0" collapsed="false">
      <c r="A83" s="17" t="n">
        <v>79</v>
      </c>
      <c r="B83" s="18" t="s">
        <v>353</v>
      </c>
      <c r="C83" s="17" t="s">
        <v>85</v>
      </c>
      <c r="D83" s="17" t="s">
        <v>139</v>
      </c>
    </row>
    <row r="84" customFormat="false" ht="15" hidden="false" customHeight="false" outlineLevel="0" collapsed="false">
      <c r="A84" s="17" t="n">
        <v>80</v>
      </c>
      <c r="B84" s="18" t="s">
        <v>355</v>
      </c>
      <c r="C84" s="17" t="s">
        <v>85</v>
      </c>
      <c r="D84" s="17" t="s">
        <v>139</v>
      </c>
    </row>
    <row r="85" customFormat="false" ht="15" hidden="false" customHeight="false" outlineLevel="0" collapsed="false">
      <c r="A85" s="17" t="n">
        <v>81</v>
      </c>
      <c r="B85" s="18" t="s">
        <v>357</v>
      </c>
      <c r="C85" s="17" t="s">
        <v>85</v>
      </c>
      <c r="D85" s="17" t="s">
        <v>139</v>
      </c>
    </row>
    <row r="86" customFormat="false" ht="15" hidden="false" customHeight="false" outlineLevel="0" collapsed="false">
      <c r="A86" s="17" t="n">
        <v>82</v>
      </c>
      <c r="B86" s="18" t="s">
        <v>359</v>
      </c>
      <c r="C86" s="17" t="s">
        <v>85</v>
      </c>
      <c r="D86" s="17" t="s">
        <v>139</v>
      </c>
    </row>
    <row r="87" customFormat="false" ht="15" hidden="false" customHeight="false" outlineLevel="0" collapsed="false">
      <c r="A87" s="17" t="n">
        <v>83</v>
      </c>
      <c r="B87" s="18" t="s">
        <v>350</v>
      </c>
      <c r="C87" s="17" t="s">
        <v>85</v>
      </c>
      <c r="D87" s="17" t="s">
        <v>53</v>
      </c>
    </row>
    <row r="88" customFormat="false" ht="15" hidden="false" customHeight="false" outlineLevel="0" collapsed="false">
      <c r="A88" s="17" t="n">
        <v>84</v>
      </c>
      <c r="B88" s="18" t="s">
        <v>389</v>
      </c>
      <c r="C88" s="17" t="s">
        <v>89</v>
      </c>
      <c r="D88" s="17" t="s">
        <v>187</v>
      </c>
    </row>
    <row r="89" customFormat="false" ht="15" hidden="false" customHeight="false" outlineLevel="0" collapsed="false">
      <c r="A89" s="17" t="n">
        <v>85</v>
      </c>
      <c r="B89" s="18" t="s">
        <v>398</v>
      </c>
      <c r="C89" s="17" t="s">
        <v>93</v>
      </c>
      <c r="D89" s="17" t="s">
        <v>53</v>
      </c>
    </row>
    <row r="90" customFormat="false" ht="15" hidden="false" customHeight="false" outlineLevel="0" collapsed="false">
      <c r="A90" s="17" t="n">
        <v>86</v>
      </c>
      <c r="B90" s="18" t="s">
        <v>386</v>
      </c>
      <c r="C90" s="17" t="s">
        <v>89</v>
      </c>
      <c r="D90" s="17" t="s">
        <v>139</v>
      </c>
    </row>
    <row r="91" customFormat="false" ht="15" hidden="false" customHeight="false" outlineLevel="0" collapsed="false">
      <c r="A91" s="17" t="n">
        <v>87</v>
      </c>
      <c r="B91" s="18" t="s">
        <v>235</v>
      </c>
      <c r="C91" s="17" t="s">
        <v>62</v>
      </c>
      <c r="D91" s="17" t="s">
        <v>139</v>
      </c>
    </row>
    <row r="92" customFormat="false" ht="15" hidden="false" customHeight="false" outlineLevel="0" collapsed="false">
      <c r="A92" s="17" t="n">
        <v>88</v>
      </c>
      <c r="B92" s="18" t="s">
        <v>237</v>
      </c>
      <c r="C92" s="17" t="s">
        <v>62</v>
      </c>
      <c r="D92" s="17" t="s">
        <v>139</v>
      </c>
    </row>
    <row r="93" customFormat="false" ht="15" hidden="false" customHeight="false" outlineLevel="0" collapsed="false">
      <c r="A93" s="17" t="n">
        <v>89</v>
      </c>
      <c r="B93" s="18" t="s">
        <v>232</v>
      </c>
      <c r="C93" s="17" t="s">
        <v>62</v>
      </c>
      <c r="D93" s="17" t="s">
        <v>53</v>
      </c>
    </row>
    <row r="94" customFormat="false" ht="15" hidden="false" customHeight="false" outlineLevel="0" collapsed="false">
      <c r="A94" s="17" t="n">
        <v>90</v>
      </c>
      <c r="B94" s="18" t="s">
        <v>239</v>
      </c>
      <c r="C94" s="17" t="s">
        <v>62</v>
      </c>
      <c r="D94" s="17" t="s">
        <v>187</v>
      </c>
    </row>
    <row r="95" customFormat="false" ht="15" hidden="false" customHeight="false" outlineLevel="0" collapsed="false">
      <c r="A95" s="17" t="n">
        <v>91</v>
      </c>
      <c r="B95" s="18" t="s">
        <v>242</v>
      </c>
      <c r="C95" s="17" t="s">
        <v>62</v>
      </c>
      <c r="D95" s="17" t="s">
        <v>187</v>
      </c>
    </row>
    <row r="96" customFormat="false" ht="15" hidden="false" customHeight="false" outlineLevel="0" collapsed="false">
      <c r="A96" s="17" t="n">
        <v>92</v>
      </c>
      <c r="B96" s="18" t="s">
        <v>244</v>
      </c>
      <c r="C96" s="17" t="s">
        <v>62</v>
      </c>
      <c r="D96" s="17" t="s">
        <v>187</v>
      </c>
    </row>
    <row r="97" customFormat="false" ht="15" hidden="false" customHeight="false" outlineLevel="0" collapsed="false">
      <c r="A97" s="17" t="n">
        <v>93</v>
      </c>
      <c r="B97" s="18" t="s">
        <v>361</v>
      </c>
      <c r="C97" s="17" t="s">
        <v>85</v>
      </c>
      <c r="D97" s="17" t="s">
        <v>53</v>
      </c>
    </row>
    <row r="98" customFormat="false" ht="15" hidden="false" customHeight="false" outlineLevel="0" collapsed="false">
      <c r="A98" s="17" t="n">
        <v>94</v>
      </c>
      <c r="B98" s="18" t="s">
        <v>507</v>
      </c>
      <c r="C98" s="17" t="s">
        <v>114</v>
      </c>
      <c r="D98" s="17" t="s">
        <v>139</v>
      </c>
    </row>
    <row r="99" customFormat="false" ht="15" hidden="false" customHeight="false" outlineLevel="0" collapsed="false">
      <c r="A99" s="17" t="n">
        <v>95</v>
      </c>
      <c r="B99" s="18" t="s">
        <v>515</v>
      </c>
      <c r="C99" s="17" t="s">
        <v>114</v>
      </c>
      <c r="D99" s="17" t="s">
        <v>139</v>
      </c>
    </row>
    <row r="100" customFormat="false" ht="15" hidden="false" customHeight="false" outlineLevel="0" collapsed="false">
      <c r="A100" s="17" t="n">
        <v>96</v>
      </c>
      <c r="B100" s="18" t="s">
        <v>509</v>
      </c>
      <c r="C100" s="17" t="s">
        <v>114</v>
      </c>
      <c r="D100" s="17" t="s">
        <v>139</v>
      </c>
    </row>
    <row r="101" customFormat="false" ht="15" hidden="false" customHeight="false" outlineLevel="0" collapsed="false">
      <c r="A101" s="17" t="n">
        <v>97</v>
      </c>
      <c r="B101" s="18" t="s">
        <v>512</v>
      </c>
      <c r="C101" s="17" t="s">
        <v>114</v>
      </c>
      <c r="D101" s="17" t="s">
        <v>139</v>
      </c>
    </row>
    <row r="102" customFormat="false" ht="15" hidden="false" customHeight="false" outlineLevel="0" collapsed="false">
      <c r="A102" s="17" t="n">
        <v>98</v>
      </c>
      <c r="B102" s="18" t="s">
        <v>517</v>
      </c>
      <c r="C102" s="17" t="s">
        <v>114</v>
      </c>
      <c r="D102" s="17" t="s">
        <v>53</v>
      </c>
    </row>
    <row r="103" customFormat="false" ht="15" hidden="false" customHeight="false" outlineLevel="0" collapsed="false">
      <c r="A103" s="17" t="n">
        <v>99</v>
      </c>
      <c r="B103" s="18" t="s">
        <v>521</v>
      </c>
      <c r="C103" s="17" t="s">
        <v>114</v>
      </c>
      <c r="D103" s="17" t="s">
        <v>139</v>
      </c>
    </row>
    <row r="104" customFormat="false" ht="15" hidden="false" customHeight="false" outlineLevel="0" collapsed="false">
      <c r="A104" s="17" t="n">
        <v>100</v>
      </c>
      <c r="B104" s="18" t="s">
        <v>519</v>
      </c>
      <c r="C104" s="17" t="s">
        <v>114</v>
      </c>
      <c r="D104" s="17" t="s">
        <v>53</v>
      </c>
    </row>
    <row r="105" customFormat="false" ht="15" hidden="false" customHeight="false" outlineLevel="0" collapsed="false">
      <c r="A105" s="17" t="n">
        <v>101</v>
      </c>
      <c r="B105" s="18" t="s">
        <v>524</v>
      </c>
      <c r="C105" s="17" t="s">
        <v>114</v>
      </c>
      <c r="D105" s="17" t="s">
        <v>139</v>
      </c>
    </row>
    <row r="106" customFormat="false" ht="15" hidden="false" customHeight="false" outlineLevel="0" collapsed="false">
      <c r="A106" s="17" t="n">
        <v>102</v>
      </c>
      <c r="B106" s="18" t="s">
        <v>526</v>
      </c>
      <c r="C106" s="17" t="s">
        <v>114</v>
      </c>
      <c r="D106" s="17" t="s">
        <v>139</v>
      </c>
    </row>
    <row r="107" customFormat="false" ht="15" hidden="false" customHeight="false" outlineLevel="0" collapsed="false">
      <c r="A107" s="17" t="n">
        <v>103</v>
      </c>
      <c r="B107" s="18" t="s">
        <v>475</v>
      </c>
      <c r="C107" s="17" t="s">
        <v>114</v>
      </c>
      <c r="D107" s="17" t="s">
        <v>139</v>
      </c>
    </row>
    <row r="108" customFormat="false" ht="15" hidden="false" customHeight="false" outlineLevel="0" collapsed="false">
      <c r="A108" s="17" t="n">
        <v>104</v>
      </c>
      <c r="B108" s="18" t="s">
        <v>480</v>
      </c>
      <c r="C108" s="17" t="s">
        <v>114</v>
      </c>
      <c r="D108" s="17" t="s">
        <v>139</v>
      </c>
    </row>
    <row r="109" customFormat="false" ht="15" hidden="false" customHeight="false" outlineLevel="0" collapsed="false">
      <c r="A109" s="17" t="n">
        <v>105</v>
      </c>
      <c r="B109" s="18" t="s">
        <v>478</v>
      </c>
      <c r="C109" s="17" t="s">
        <v>114</v>
      </c>
      <c r="D109" s="17" t="s">
        <v>139</v>
      </c>
    </row>
    <row r="110" customFormat="false" ht="15" hidden="false" customHeight="false" outlineLevel="0" collapsed="false">
      <c r="A110" s="17" t="n">
        <v>106</v>
      </c>
      <c r="B110" s="18" t="s">
        <v>482</v>
      </c>
      <c r="C110" s="17" t="s">
        <v>114</v>
      </c>
      <c r="D110" s="17" t="s">
        <v>139</v>
      </c>
    </row>
    <row r="111" customFormat="false" ht="15" hidden="false" customHeight="false" outlineLevel="0" collapsed="false">
      <c r="A111" s="17" t="n">
        <v>107</v>
      </c>
      <c r="B111" s="18" t="s">
        <v>438</v>
      </c>
      <c r="C111" s="17" t="s">
        <v>101</v>
      </c>
      <c r="D111" s="17" t="s">
        <v>139</v>
      </c>
    </row>
    <row r="112" customFormat="false" ht="15" hidden="false" customHeight="false" outlineLevel="0" collapsed="false">
      <c r="A112" s="17" t="n">
        <v>108</v>
      </c>
      <c r="B112" s="18" t="s">
        <v>445</v>
      </c>
      <c r="C112" s="17" t="s">
        <v>101</v>
      </c>
      <c r="D112" s="17" t="s">
        <v>53</v>
      </c>
    </row>
    <row r="113" customFormat="false" ht="15" hidden="false" customHeight="false" outlineLevel="0" collapsed="false">
      <c r="A113" s="17" t="n">
        <v>109</v>
      </c>
      <c r="B113" s="18" t="s">
        <v>442</v>
      </c>
      <c r="C113" s="17" t="s">
        <v>101</v>
      </c>
      <c r="D113" s="17" t="s">
        <v>53</v>
      </c>
    </row>
    <row r="114" customFormat="false" ht="15" hidden="false" customHeight="false" outlineLevel="0" collapsed="false">
      <c r="A114" s="17" t="n">
        <v>110</v>
      </c>
      <c r="B114" s="18" t="s">
        <v>447</v>
      </c>
      <c r="C114" s="17" t="s">
        <v>101</v>
      </c>
      <c r="D114" s="17" t="s">
        <v>139</v>
      </c>
    </row>
    <row r="115" customFormat="false" ht="15" hidden="false" customHeight="false" outlineLevel="0" collapsed="false">
      <c r="A115" s="17" t="n">
        <v>111</v>
      </c>
      <c r="B115" s="18" t="s">
        <v>440</v>
      </c>
      <c r="C115" s="17" t="s">
        <v>101</v>
      </c>
      <c r="D115" s="17" t="s">
        <v>139</v>
      </c>
    </row>
    <row r="116" customFormat="false" ht="15" hidden="false" customHeight="false" outlineLevel="0" collapsed="false">
      <c r="A116" s="17" t="n">
        <v>112</v>
      </c>
      <c r="B116" s="18" t="s">
        <v>259</v>
      </c>
      <c r="C116" s="17" t="s">
        <v>67</v>
      </c>
      <c r="D116" s="17" t="s">
        <v>139</v>
      </c>
    </row>
    <row r="117" customFormat="false" ht="15" hidden="false" customHeight="false" outlineLevel="0" collapsed="false">
      <c r="A117" s="17" t="n">
        <v>113</v>
      </c>
      <c r="B117" s="18" t="s">
        <v>263</v>
      </c>
      <c r="C117" s="17" t="s">
        <v>67</v>
      </c>
      <c r="D117" s="17" t="s">
        <v>53</v>
      </c>
    </row>
    <row r="118" customFormat="false" ht="15" hidden="false" customHeight="false" outlineLevel="0" collapsed="false">
      <c r="A118" s="17" t="n">
        <v>114</v>
      </c>
      <c r="B118" s="18" t="s">
        <v>145</v>
      </c>
      <c r="C118" s="17" t="s">
        <v>50</v>
      </c>
      <c r="D118" s="17" t="s">
        <v>139</v>
      </c>
    </row>
    <row r="119" customFormat="false" ht="15" hidden="false" customHeight="false" outlineLevel="0" collapsed="false">
      <c r="A119" s="17" t="n">
        <v>115</v>
      </c>
      <c r="B119" s="18" t="s">
        <v>143</v>
      </c>
      <c r="C119" s="17" t="s">
        <v>50</v>
      </c>
      <c r="D119" s="17" t="s">
        <v>139</v>
      </c>
    </row>
    <row r="120" customFormat="false" ht="15" hidden="false" customHeight="false" outlineLevel="0" collapsed="false">
      <c r="A120" s="17" t="n">
        <v>116</v>
      </c>
      <c r="B120" s="18" t="s">
        <v>137</v>
      </c>
      <c r="C120" s="17" t="s">
        <v>50</v>
      </c>
      <c r="D120" s="17" t="s">
        <v>139</v>
      </c>
    </row>
    <row r="121" customFormat="false" ht="15" hidden="false" customHeight="false" outlineLevel="0" collapsed="false">
      <c r="A121" s="17" t="n">
        <v>117</v>
      </c>
      <c r="B121" s="18" t="s">
        <v>149</v>
      </c>
      <c r="C121" s="17" t="s">
        <v>50</v>
      </c>
      <c r="D121" s="17" t="s">
        <v>53</v>
      </c>
    </row>
    <row r="122" customFormat="false" ht="15" hidden="false" customHeight="false" outlineLevel="0" collapsed="false">
      <c r="A122" s="17" t="n">
        <v>118</v>
      </c>
      <c r="B122" s="18" t="s">
        <v>166</v>
      </c>
      <c r="C122" s="17" t="s">
        <v>50</v>
      </c>
      <c r="D122" s="17" t="s">
        <v>139</v>
      </c>
    </row>
    <row r="123" customFormat="false" ht="15" hidden="false" customHeight="false" outlineLevel="0" collapsed="false">
      <c r="A123" s="17" t="n">
        <v>119</v>
      </c>
      <c r="B123" s="18" t="s">
        <v>158</v>
      </c>
      <c r="C123" s="17" t="s">
        <v>50</v>
      </c>
      <c r="D123" s="17" t="s">
        <v>139</v>
      </c>
    </row>
    <row r="124" customFormat="false" ht="15" hidden="false" customHeight="false" outlineLevel="0" collapsed="false">
      <c r="A124" s="17" t="n">
        <v>120</v>
      </c>
      <c r="B124" s="18" t="s">
        <v>152</v>
      </c>
      <c r="C124" s="17" t="s">
        <v>50</v>
      </c>
      <c r="D124" s="17" t="s">
        <v>53</v>
      </c>
    </row>
    <row r="125" customFormat="false" ht="15" hidden="false" customHeight="false" outlineLevel="0" collapsed="false">
      <c r="A125" s="17" t="n">
        <v>121</v>
      </c>
      <c r="B125" s="18" t="s">
        <v>161</v>
      </c>
      <c r="C125" s="17" t="s">
        <v>50</v>
      </c>
      <c r="D125" s="17" t="s">
        <v>139</v>
      </c>
    </row>
    <row r="126" customFormat="false" ht="15" hidden="false" customHeight="false" outlineLevel="0" collapsed="false">
      <c r="A126" s="17" t="n">
        <v>122</v>
      </c>
      <c r="B126" s="18" t="s">
        <v>156</v>
      </c>
      <c r="C126" s="17" t="s">
        <v>50</v>
      </c>
      <c r="D126" s="17" t="s">
        <v>139</v>
      </c>
    </row>
    <row r="127" customFormat="false" ht="15" hidden="false" customHeight="false" outlineLevel="0" collapsed="false">
      <c r="A127" s="17" t="n">
        <v>123</v>
      </c>
      <c r="B127" s="18" t="s">
        <v>168</v>
      </c>
      <c r="C127" s="17" t="s">
        <v>50</v>
      </c>
      <c r="D127" s="17" t="s">
        <v>139</v>
      </c>
    </row>
    <row r="128" customFormat="false" ht="15" hidden="false" customHeight="false" outlineLevel="0" collapsed="false">
      <c r="A128" s="17" t="n">
        <v>124</v>
      </c>
      <c r="B128" s="18" t="s">
        <v>272</v>
      </c>
      <c r="C128" s="17" t="s">
        <v>72</v>
      </c>
      <c r="D128" s="17" t="s">
        <v>139</v>
      </c>
    </row>
    <row r="129" customFormat="false" ht="15" hidden="false" customHeight="false" outlineLevel="0" collapsed="false">
      <c r="A129" s="17" t="n">
        <v>125</v>
      </c>
      <c r="B129" s="18" t="s">
        <v>164</v>
      </c>
      <c r="C129" s="17" t="s">
        <v>50</v>
      </c>
      <c r="D129" s="17" t="s">
        <v>139</v>
      </c>
    </row>
    <row r="130" customFormat="false" ht="15" hidden="false" customHeight="false" outlineLevel="0" collapsed="false">
      <c r="A130" s="17" t="n">
        <v>126</v>
      </c>
      <c r="B130" s="18" t="s">
        <v>452</v>
      </c>
      <c r="C130" s="17" t="s">
        <v>101</v>
      </c>
      <c r="D130" s="17" t="s">
        <v>139</v>
      </c>
    </row>
    <row r="131" customFormat="false" ht="15" hidden="false" customHeight="false" outlineLevel="0" collapsed="false">
      <c r="A131" s="17" t="n">
        <v>127</v>
      </c>
      <c r="B131" s="18" t="s">
        <v>454</v>
      </c>
      <c r="C131" s="17" t="s">
        <v>101</v>
      </c>
      <c r="D131" s="17" t="s">
        <v>139</v>
      </c>
    </row>
    <row r="132" customFormat="false" ht="15" hidden="false" customHeight="false" outlineLevel="0" collapsed="false">
      <c r="A132" s="17" t="n">
        <v>128</v>
      </c>
      <c r="B132" s="18" t="s">
        <v>449</v>
      </c>
      <c r="C132" s="17" t="s">
        <v>101</v>
      </c>
      <c r="D132" s="17" t="s">
        <v>139</v>
      </c>
    </row>
    <row r="133" customFormat="false" ht="15" hidden="false" customHeight="false" outlineLevel="0" collapsed="false">
      <c r="A133" s="17" t="n">
        <v>129</v>
      </c>
      <c r="B133" s="18" t="s">
        <v>179</v>
      </c>
      <c r="C133" s="17" t="s">
        <v>56</v>
      </c>
      <c r="D133" s="17" t="s">
        <v>59</v>
      </c>
    </row>
    <row r="134" customFormat="false" ht="15" hidden="false" customHeight="false" outlineLevel="0" collapsed="false">
      <c r="A134" s="17" t="n">
        <v>130</v>
      </c>
      <c r="B134" s="18" t="s">
        <v>174</v>
      </c>
      <c r="C134" s="17" t="s">
        <v>56</v>
      </c>
      <c r="D134" s="17" t="s">
        <v>59</v>
      </c>
    </row>
    <row r="135" customFormat="false" ht="15" hidden="false" customHeight="false" outlineLevel="0" collapsed="false">
      <c r="A135" s="17" t="n">
        <v>131</v>
      </c>
      <c r="B135" s="18" t="s">
        <v>171</v>
      </c>
      <c r="C135" s="17" t="s">
        <v>56</v>
      </c>
      <c r="D135" s="17" t="s">
        <v>59</v>
      </c>
    </row>
    <row r="136" customFormat="false" ht="15" hidden="false" customHeight="false" outlineLevel="0" collapsed="false">
      <c r="A136" s="17" t="n">
        <v>132</v>
      </c>
      <c r="B136" s="18" t="s">
        <v>177</v>
      </c>
      <c r="C136" s="17" t="s">
        <v>56</v>
      </c>
      <c r="D136" s="17" t="s">
        <v>59</v>
      </c>
    </row>
    <row r="137" customFormat="false" ht="15" hidden="false" customHeight="false" outlineLevel="0" collapsed="false">
      <c r="A137" s="17" t="n">
        <v>133</v>
      </c>
      <c r="B137" s="18" t="s">
        <v>185</v>
      </c>
      <c r="C137" s="17" t="s">
        <v>56</v>
      </c>
      <c r="D137" s="17" t="s">
        <v>187</v>
      </c>
    </row>
    <row r="138" customFormat="false" ht="15" hidden="false" customHeight="false" outlineLevel="0" collapsed="false">
      <c r="A138" s="17" t="n">
        <v>134</v>
      </c>
      <c r="B138" s="18" t="s">
        <v>417</v>
      </c>
      <c r="C138" s="17" t="s">
        <v>97</v>
      </c>
      <c r="D138" s="17" t="s">
        <v>139</v>
      </c>
    </row>
    <row r="139" customFormat="false" ht="15" hidden="false" customHeight="false" outlineLevel="0" collapsed="false">
      <c r="A139" s="17" t="n">
        <v>135</v>
      </c>
      <c r="B139" s="18" t="s">
        <v>419</v>
      </c>
      <c r="C139" s="17" t="s">
        <v>97</v>
      </c>
      <c r="D139" s="17" t="s">
        <v>139</v>
      </c>
    </row>
    <row r="140" customFormat="false" ht="15" hidden="false" customHeight="false" outlineLevel="0" collapsed="false">
      <c r="A140" s="17" t="n">
        <v>136</v>
      </c>
      <c r="B140" s="18" t="s">
        <v>414</v>
      </c>
      <c r="C140" s="17" t="s">
        <v>97</v>
      </c>
      <c r="D140" s="17" t="s">
        <v>139</v>
      </c>
    </row>
    <row r="141" customFormat="false" ht="15" hidden="false" customHeight="false" outlineLevel="0" collapsed="false">
      <c r="A141" s="17" t="n">
        <v>137</v>
      </c>
      <c r="B141" s="18" t="s">
        <v>411</v>
      </c>
      <c r="C141" s="17" t="s">
        <v>97</v>
      </c>
      <c r="D141" s="17" t="s">
        <v>53</v>
      </c>
    </row>
    <row r="142" customFormat="false" ht="15" hidden="false" customHeight="false" outlineLevel="0" collapsed="false">
      <c r="A142" s="17" t="n">
        <v>138</v>
      </c>
      <c r="B142" s="18" t="s">
        <v>421</v>
      </c>
      <c r="C142" s="17" t="s">
        <v>97</v>
      </c>
      <c r="D142" s="17" t="s">
        <v>53</v>
      </c>
    </row>
    <row r="143" customFormat="false" ht="15" hidden="false" customHeight="false" outlineLevel="0" collapsed="false">
      <c r="A143" s="17" t="n">
        <v>139</v>
      </c>
      <c r="B143" s="18" t="s">
        <v>423</v>
      </c>
      <c r="C143" s="17" t="s">
        <v>97</v>
      </c>
      <c r="D143" s="17" t="s">
        <v>139</v>
      </c>
    </row>
    <row r="144" customFormat="false" ht="15" hidden="false" customHeight="false" outlineLevel="0" collapsed="false">
      <c r="A144" s="17" t="n">
        <v>140</v>
      </c>
      <c r="B144" s="18" t="s">
        <v>407</v>
      </c>
      <c r="C144" s="17" t="s">
        <v>97</v>
      </c>
      <c r="D144" s="17" t="s">
        <v>139</v>
      </c>
    </row>
    <row r="145" customFormat="false" ht="15" hidden="false" customHeight="false" outlineLevel="0" collapsed="false">
      <c r="A145" s="17" t="n">
        <v>141</v>
      </c>
      <c r="B145" s="18" t="s">
        <v>409</v>
      </c>
      <c r="C145" s="17" t="s">
        <v>97</v>
      </c>
      <c r="D145" s="17" t="s">
        <v>139</v>
      </c>
    </row>
    <row r="146" customFormat="false" ht="15" hidden="false" customHeight="false" outlineLevel="0" collapsed="false">
      <c r="A146" s="17" t="n">
        <v>142</v>
      </c>
      <c r="B146" s="18" t="s">
        <v>404</v>
      </c>
      <c r="C146" s="17" t="s">
        <v>97</v>
      </c>
      <c r="D146" s="17" t="s">
        <v>139</v>
      </c>
    </row>
    <row r="147" customFormat="false" ht="15" hidden="false" customHeight="false" outlineLevel="0" collapsed="false">
      <c r="A147" s="17" t="n">
        <v>143</v>
      </c>
      <c r="B147" s="18" t="s">
        <v>471</v>
      </c>
      <c r="C147" s="17" t="s">
        <v>109</v>
      </c>
      <c r="D147" s="17" t="s">
        <v>53</v>
      </c>
    </row>
    <row r="148" customFormat="false" ht="15" hidden="false" customHeight="false" outlineLevel="0" collapsed="false">
      <c r="A148" s="17" t="n">
        <v>144</v>
      </c>
      <c r="B148" s="18" t="s">
        <v>268</v>
      </c>
      <c r="C148" s="17" t="s">
        <v>67</v>
      </c>
      <c r="D148" s="17" t="s">
        <v>53</v>
      </c>
    </row>
    <row r="149" customFormat="false" ht="15" hidden="false" customHeight="false" outlineLevel="0" collapsed="false">
      <c r="A149" s="17" t="n">
        <v>145</v>
      </c>
      <c r="B149" s="18" t="s">
        <v>254</v>
      </c>
      <c r="C149" s="17" t="s">
        <v>67</v>
      </c>
      <c r="D149" s="17" t="s">
        <v>139</v>
      </c>
    </row>
    <row r="150" customFormat="false" ht="15" hidden="false" customHeight="false" outlineLevel="0" collapsed="false">
      <c r="A150" s="17" t="n">
        <v>146</v>
      </c>
      <c r="B150" s="18" t="s">
        <v>257</v>
      </c>
      <c r="C150" s="17" t="s">
        <v>67</v>
      </c>
      <c r="D150" s="17" t="s">
        <v>139</v>
      </c>
    </row>
    <row r="151" customFormat="false" ht="15" hidden="false" customHeight="false" outlineLevel="0" collapsed="false">
      <c r="A151" s="17" t="n">
        <v>147</v>
      </c>
      <c r="B151" s="18" t="s">
        <v>250</v>
      </c>
      <c r="C151" s="17" t="s">
        <v>67</v>
      </c>
      <c r="D151" s="17" t="s">
        <v>139</v>
      </c>
    </row>
    <row r="152" customFormat="false" ht="15" hidden="false" customHeight="false" outlineLevel="0" collapsed="false">
      <c r="A152" s="17" t="n">
        <v>148</v>
      </c>
      <c r="B152" s="18" t="s">
        <v>265</v>
      </c>
      <c r="C152" s="17" t="s">
        <v>67</v>
      </c>
      <c r="D152" s="17" t="s">
        <v>139</v>
      </c>
    </row>
    <row r="154" customFormat="false" ht="15" hidden="false" customHeight="false" outlineLevel="0" collapsed="false">
      <c r="B154" s="4" t="s">
        <v>593</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3" min="3" style="0" width="84"/>
  </cols>
  <sheetData>
    <row r="1" customFormat="false" ht="16.15" hidden="false" customHeight="false" outlineLevel="0" collapsed="false">
      <c r="A1" s="1" t="s">
        <v>594</v>
      </c>
    </row>
    <row r="2" customFormat="false" ht="19.5" hidden="false" customHeight="true" outlineLevel="0" collapsed="false">
      <c r="A2" s="6" t="s">
        <v>595</v>
      </c>
      <c r="B2" s="6"/>
      <c r="C2" s="6"/>
    </row>
    <row r="4" customFormat="false" ht="31.5" hidden="false" customHeight="true" outlineLevel="0" collapsed="false">
      <c r="A4" s="7" t="s">
        <v>596</v>
      </c>
      <c r="B4" s="7" t="s">
        <v>597</v>
      </c>
      <c r="C4" s="7" t="s">
        <v>598</v>
      </c>
    </row>
    <row r="5" customFormat="false" ht="25.5" hidden="false" customHeight="true" outlineLevel="0" collapsed="false">
      <c r="A5" s="18" t="s">
        <v>599</v>
      </c>
      <c r="B5" s="19" t="n">
        <f aca="false">COUNTA('Tcode Baseline'!C5:C155)</f>
        <v>151</v>
      </c>
      <c r="C5" s="8" t="s">
        <v>600</v>
      </c>
    </row>
    <row r="6" customFormat="false" ht="25.5" hidden="false" customHeight="true" outlineLevel="0" collapsed="false">
      <c r="A6" s="17" t="s">
        <v>601</v>
      </c>
      <c r="B6" s="19" t="n">
        <f aca="false">COUNTIF('Tcode Baseline'!E5:E155,"A")</f>
        <v>93</v>
      </c>
      <c r="C6" s="8" t="s">
        <v>602</v>
      </c>
    </row>
    <row r="7" customFormat="false" ht="25.5" hidden="false" customHeight="true" outlineLevel="0" collapsed="false">
      <c r="A7" s="17" t="s">
        <v>603</v>
      </c>
      <c r="B7" s="19" t="n">
        <f aca="false">COUNTIF('Tcode Baseline'!E5:E155,"A/B")</f>
        <v>40</v>
      </c>
      <c r="C7" s="8" t="s">
        <v>604</v>
      </c>
    </row>
    <row r="8" customFormat="false" ht="25.5" hidden="false" customHeight="true" outlineLevel="0" collapsed="false">
      <c r="A8" s="17" t="s">
        <v>605</v>
      </c>
      <c r="B8" s="19" t="n">
        <f aca="false">COUNTIF('Tcode Baseline'!E5:E155,"B")</f>
        <v>12</v>
      </c>
      <c r="C8" s="8" t="s">
        <v>606</v>
      </c>
    </row>
    <row r="9" customFormat="false" ht="25.5" hidden="false" customHeight="true" outlineLevel="0" collapsed="false">
      <c r="A9" s="17" t="s">
        <v>607</v>
      </c>
      <c r="B9" s="19" t="n">
        <f aca="false">COUNTIF('Tcode Baseline'!E5:E155,"C")</f>
        <v>5</v>
      </c>
      <c r="C9" s="8" t="s">
        <v>608</v>
      </c>
    </row>
    <row r="10" customFormat="false" ht="25.5" hidden="false" customHeight="true" outlineLevel="0" collapsed="false">
      <c r="A10" s="17" t="s">
        <v>609</v>
      </c>
      <c r="B10" s="19" t="n">
        <f aca="false">COUNTIF('Tcode Baseline'!E5:E155,"D")</f>
        <v>1</v>
      </c>
      <c r="C10" s="8" t="s">
        <v>610</v>
      </c>
    </row>
    <row r="11" customFormat="false" ht="25.5" hidden="false" customHeight="true" outlineLevel="0" collapsed="false">
      <c r="A11" s="18"/>
      <c r="B11" s="20"/>
      <c r="C11" s="8"/>
    </row>
    <row r="12" customFormat="false" ht="25.5" hidden="false" customHeight="true" outlineLevel="0" collapsed="false">
      <c r="A12" s="18" t="s">
        <v>611</v>
      </c>
      <c r="B12" s="19" t="n">
        <f aca="false">COUNTIF('Tcode Baseline'!G5:G155,"Not in S/4 - redirect")</f>
        <v>12</v>
      </c>
      <c r="C12" s="8" t="s">
        <v>612</v>
      </c>
    </row>
    <row r="13" customFormat="false" ht="25.5" hidden="false" customHeight="true" outlineLevel="0" collapsed="false">
      <c r="A13" s="18" t="s">
        <v>613</v>
      </c>
      <c r="B13" s="19" t="n">
        <f aca="false">COUNTIF('Tcode Baseline'!G5:G155,"Verify")</f>
        <v>21</v>
      </c>
      <c r="C13" s="8" t="s">
        <v>614</v>
      </c>
    </row>
    <row r="14" customFormat="false" ht="25.5" hidden="false" customHeight="true" outlineLevel="0" collapsed="false">
      <c r="A14" s="18"/>
      <c r="B14" s="20"/>
      <c r="C14" s="8"/>
    </row>
    <row r="15" customFormat="false" ht="25.5" hidden="false" customHeight="true" outlineLevel="0" collapsed="false">
      <c r="A15" s="18" t="s">
        <v>615</v>
      </c>
      <c r="B15" s="19" t="n">
        <f aca="false">COUNTIF('Tcode Baseline'!I5:I155,"Y")</f>
        <v>0</v>
      </c>
      <c r="C15" s="8" t="s">
        <v>616</v>
      </c>
    </row>
    <row r="16" customFormat="false" ht="25.5" hidden="false" customHeight="true" outlineLevel="0" collapsed="false">
      <c r="A16" s="18" t="s">
        <v>617</v>
      </c>
      <c r="B16" s="19" t="n">
        <f aca="false">COUNTIF('Tcode Baseline'!I5:I155,"N")</f>
        <v>0</v>
      </c>
      <c r="C16" s="8" t="s">
        <v>618</v>
      </c>
    </row>
    <row r="17" customFormat="false" ht="25.5" hidden="false" customHeight="true" outlineLevel="0" collapsed="false">
      <c r="A17" s="18" t="s">
        <v>619</v>
      </c>
      <c r="B17" s="19" t="n">
        <f aca="false">COUNTBLANK('Tcode Baseline'!I5:I155)</f>
        <v>151</v>
      </c>
      <c r="C17" s="8" t="s">
        <v>620</v>
      </c>
    </row>
    <row r="18" customFormat="false" ht="25.5" hidden="false" customHeight="true" outlineLevel="0" collapsed="false">
      <c r="A18" s="18"/>
      <c r="B18" s="20"/>
      <c r="C18" s="8"/>
    </row>
    <row r="19" customFormat="false" ht="25.5" hidden="false" customHeight="true" outlineLevel="0" collapsed="false">
      <c r="A19" s="18" t="s">
        <v>621</v>
      </c>
      <c r="B19" s="19" t="n">
        <f aca="false">COUNTIF('Tcode Baseline'!K5:K155,"Fiori - full")</f>
        <v>0</v>
      </c>
      <c r="C19" s="8"/>
    </row>
    <row r="20" customFormat="false" ht="25.5" hidden="false" customHeight="true" outlineLevel="0" collapsed="false">
      <c r="A20" s="18" t="s">
        <v>622</v>
      </c>
      <c r="B20" s="19" t="n">
        <f aca="false">COUNTIF('Tcode Baseline'!K5:K155,"Fiori - partial")</f>
        <v>0</v>
      </c>
      <c r="C20" s="8" t="s">
        <v>623</v>
      </c>
    </row>
    <row r="21" customFormat="false" ht="25.5" hidden="false" customHeight="true" outlineLevel="0" collapsed="false">
      <c r="A21" s="18" t="s">
        <v>624</v>
      </c>
      <c r="B21" s="19" t="n">
        <f aca="false">COUNTIF('Tcode Baseline'!K5:K155,"Fiori - none")</f>
        <v>0</v>
      </c>
      <c r="C21" s="8"/>
    </row>
    <row r="22" customFormat="false" ht="25.5" hidden="false" customHeight="true" outlineLevel="0" collapsed="false">
      <c r="A22" s="18" t="s">
        <v>625</v>
      </c>
      <c r="B22" s="19" t="n">
        <f aca="false">COUNTIF('Tcode Baseline'!K5:K155,"GUI for HTML")</f>
        <v>0</v>
      </c>
      <c r="C22" s="8" t="s">
        <v>626</v>
      </c>
    </row>
    <row r="23" customFormat="false" ht="25.5" hidden="false" customHeight="true" outlineLevel="0" collapsed="false">
      <c r="A23" s="18" t="s">
        <v>627</v>
      </c>
      <c r="B23" s="19" t="n">
        <f aca="false">COUNTIF('Tcode Baseline'!K5:K155,"Data layer - not a UI question")</f>
        <v>0</v>
      </c>
      <c r="C23" s="8" t="s">
        <v>628</v>
      </c>
    </row>
    <row r="24" customFormat="false" ht="25.5" hidden="false" customHeight="true" outlineLevel="0" collapsed="false">
      <c r="A24" s="18" t="s">
        <v>629</v>
      </c>
      <c r="B24" s="19" t="n">
        <f aca="false">COUNTIF('Tcode Baseline'!K5:K155,"Pending")</f>
        <v>0</v>
      </c>
      <c r="C24" s="8"/>
    </row>
    <row r="26" customFormat="false" ht="15" hidden="false" customHeight="false" outlineLevel="0" collapsed="false">
      <c r="A26" s="3" t="s">
        <v>630</v>
      </c>
    </row>
    <row r="27" customFormat="false" ht="27.75" hidden="false" customHeight="true" outlineLevel="0" collapsed="false">
      <c r="A27" s="21" t="s">
        <v>631</v>
      </c>
      <c r="C27" s="5" t="s">
        <v>632</v>
      </c>
    </row>
    <row r="28" customFormat="false" ht="27.75" hidden="false" customHeight="true" outlineLevel="0" collapsed="false">
      <c r="A28" s="21" t="s">
        <v>633</v>
      </c>
      <c r="C28" s="5" t="s">
        <v>634</v>
      </c>
    </row>
    <row r="29" customFormat="false" ht="27.75" hidden="false" customHeight="true" outlineLevel="0" collapsed="false">
      <c r="A29" s="21" t="s">
        <v>635</v>
      </c>
      <c r="C29" s="5" t="s">
        <v>636</v>
      </c>
    </row>
    <row r="30" customFormat="false" ht="27.75" hidden="false" customHeight="true" outlineLevel="0" collapsed="false">
      <c r="A30" s="21" t="s">
        <v>637</v>
      </c>
      <c r="C30" s="5" t="s">
        <v>638</v>
      </c>
    </row>
    <row r="31" customFormat="false" ht="27.75" hidden="false" customHeight="true" outlineLevel="0" collapsed="false">
      <c r="A31" s="21" t="s">
        <v>639</v>
      </c>
      <c r="C31" s="5" t="s">
        <v>640</v>
      </c>
    </row>
    <row r="32" customFormat="false" ht="27.75" hidden="false" customHeight="true" outlineLevel="0" collapsed="false">
      <c r="A32" s="21" t="s">
        <v>641</v>
      </c>
      <c r="C32" s="5" t="s">
        <v>642</v>
      </c>
    </row>
  </sheetData>
  <mergeCells count="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3" min="3" style="0" width="74"/>
    <col collapsed="false" customWidth="true" hidden="false" outlineLevel="0" max="4" min="4" style="0" width="20"/>
    <col collapsed="false" customWidth="true" hidden="false" outlineLevel="0" max="5" min="5" style="0" width="28"/>
  </cols>
  <sheetData>
    <row r="1" customFormat="false" ht="16.15" hidden="false" customHeight="false" outlineLevel="0" collapsed="false">
      <c r="A1" s="1" t="s">
        <v>643</v>
      </c>
    </row>
    <row r="2" customFormat="false" ht="24" hidden="false" customHeight="true" outlineLevel="0" collapsed="false">
      <c r="A2" s="6" t="s">
        <v>644</v>
      </c>
      <c r="B2" s="6"/>
      <c r="C2" s="6"/>
      <c r="D2" s="6"/>
      <c r="E2" s="6"/>
    </row>
    <row r="4" customFormat="false" ht="31.5" hidden="false" customHeight="true" outlineLevel="0" collapsed="false">
      <c r="A4" s="7" t="s">
        <v>590</v>
      </c>
      <c r="B4" s="7" t="s">
        <v>645</v>
      </c>
      <c r="C4" s="7" t="s">
        <v>646</v>
      </c>
      <c r="D4" s="7" t="s">
        <v>135</v>
      </c>
      <c r="E4" s="7" t="s">
        <v>647</v>
      </c>
    </row>
    <row r="5" customFormat="false" ht="66" hidden="false" customHeight="true" outlineLevel="0" collapsed="false">
      <c r="A5" s="8" t="s">
        <v>648</v>
      </c>
      <c r="B5" s="8" t="s">
        <v>649</v>
      </c>
      <c r="C5" s="8" t="s">
        <v>650</v>
      </c>
      <c r="D5" s="8" t="s">
        <v>651</v>
      </c>
      <c r="E5" s="10"/>
    </row>
    <row r="6" customFormat="false" ht="66" hidden="false" customHeight="true" outlineLevel="0" collapsed="false">
      <c r="A6" s="8" t="s">
        <v>652</v>
      </c>
      <c r="B6" s="8" t="s">
        <v>653</v>
      </c>
      <c r="C6" s="8" t="s">
        <v>654</v>
      </c>
      <c r="D6" s="8" t="s">
        <v>655</v>
      </c>
      <c r="E6" s="10"/>
    </row>
    <row r="7" customFormat="false" ht="66" hidden="false" customHeight="true" outlineLevel="0" collapsed="false">
      <c r="A7" s="8" t="s">
        <v>656</v>
      </c>
      <c r="B7" s="8" t="s">
        <v>657</v>
      </c>
      <c r="C7" s="8" t="s">
        <v>658</v>
      </c>
      <c r="D7" s="8" t="s">
        <v>655</v>
      </c>
      <c r="E7" s="10"/>
    </row>
    <row r="8" customFormat="false" ht="66" hidden="false" customHeight="true" outlineLevel="0" collapsed="false">
      <c r="A8" s="8" t="s">
        <v>659</v>
      </c>
      <c r="B8" s="8" t="s">
        <v>660</v>
      </c>
      <c r="C8" s="8" t="s">
        <v>661</v>
      </c>
      <c r="D8" s="8" t="s">
        <v>662</v>
      </c>
      <c r="E8" s="10"/>
    </row>
    <row r="9" customFormat="false" ht="66" hidden="false" customHeight="true" outlineLevel="0" collapsed="false">
      <c r="A9" s="8" t="s">
        <v>663</v>
      </c>
      <c r="B9" s="8" t="s">
        <v>664</v>
      </c>
      <c r="C9" s="8" t="s">
        <v>665</v>
      </c>
      <c r="D9" s="8" t="s">
        <v>655</v>
      </c>
      <c r="E9" s="10"/>
    </row>
    <row r="10" customFormat="false" ht="66" hidden="false" customHeight="true" outlineLevel="0" collapsed="false">
      <c r="A10" s="8" t="s">
        <v>666</v>
      </c>
      <c r="B10" s="8" t="s">
        <v>667</v>
      </c>
      <c r="C10" s="8" t="s">
        <v>668</v>
      </c>
      <c r="D10" s="8" t="s">
        <v>655</v>
      </c>
      <c r="E10" s="10"/>
    </row>
    <row r="11" customFormat="false" ht="66" hidden="false" customHeight="true" outlineLevel="0" collapsed="false">
      <c r="A11" s="8" t="s">
        <v>669</v>
      </c>
      <c r="B11" s="8" t="s">
        <v>670</v>
      </c>
      <c r="C11" s="8" t="s">
        <v>671</v>
      </c>
      <c r="D11" s="8" t="s">
        <v>672</v>
      </c>
      <c r="E11" s="10"/>
    </row>
    <row r="12" customFormat="false" ht="66" hidden="false" customHeight="true" outlineLevel="0" collapsed="false">
      <c r="A12" s="8" t="s">
        <v>673</v>
      </c>
      <c r="B12" s="8" t="s">
        <v>674</v>
      </c>
      <c r="C12" s="8" t="s">
        <v>675</v>
      </c>
      <c r="D12" s="8" t="s">
        <v>651</v>
      </c>
      <c r="E12" s="10"/>
    </row>
    <row r="13" customFormat="false" ht="66" hidden="false" customHeight="true" outlineLevel="0" collapsed="false">
      <c r="A13" s="8" t="s">
        <v>676</v>
      </c>
      <c r="B13" s="8" t="s">
        <v>677</v>
      </c>
      <c r="C13" s="8" t="s">
        <v>678</v>
      </c>
      <c r="D13" s="8" t="s">
        <v>679</v>
      </c>
      <c r="E13" s="10"/>
    </row>
    <row r="14" customFormat="false" ht="66" hidden="false" customHeight="true" outlineLevel="0" collapsed="false">
      <c r="A14" s="8" t="s">
        <v>680</v>
      </c>
      <c r="B14" s="8" t="s">
        <v>681</v>
      </c>
      <c r="C14" s="8" t="s">
        <v>682</v>
      </c>
      <c r="D14" s="8" t="s">
        <v>679</v>
      </c>
      <c r="E14" s="10"/>
    </row>
    <row r="15" customFormat="false" ht="66" hidden="false" customHeight="true" outlineLevel="0" collapsed="false">
      <c r="A15" s="8" t="s">
        <v>683</v>
      </c>
      <c r="B15" s="8" t="s">
        <v>684</v>
      </c>
      <c r="C15" s="8" t="s">
        <v>685</v>
      </c>
      <c r="D15" s="8" t="s">
        <v>672</v>
      </c>
      <c r="E15" s="10"/>
    </row>
    <row r="16" customFormat="false" ht="66" hidden="false" customHeight="true" outlineLevel="0" collapsed="false">
      <c r="A16" s="8" t="s">
        <v>686</v>
      </c>
      <c r="B16" s="8" t="s">
        <v>687</v>
      </c>
      <c r="C16" s="8" t="s">
        <v>688</v>
      </c>
      <c r="D16" s="8" t="s">
        <v>655</v>
      </c>
      <c r="E16" s="10"/>
    </row>
    <row r="17" customFormat="false" ht="66" hidden="false" customHeight="true" outlineLevel="0" collapsed="false">
      <c r="A17" s="8" t="s">
        <v>689</v>
      </c>
      <c r="B17" s="8" t="s">
        <v>690</v>
      </c>
      <c r="C17" s="8" t="s">
        <v>691</v>
      </c>
      <c r="D17" s="8" t="s">
        <v>655</v>
      </c>
      <c r="E17" s="10"/>
    </row>
    <row r="18" customFormat="false" ht="66" hidden="false" customHeight="true" outlineLevel="0" collapsed="false">
      <c r="A18" s="8" t="s">
        <v>692</v>
      </c>
      <c r="B18" s="8" t="s">
        <v>693</v>
      </c>
      <c r="C18" s="8" t="s">
        <v>694</v>
      </c>
      <c r="D18" s="8" t="s">
        <v>679</v>
      </c>
      <c r="E18" s="10"/>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2026-08-05T21:01:19Z</dcterms:created>
  <dc:creator>openpyxl</dc:creator>
  <dc:description/>
  <dc:language>en-US</dc:language>
  <cp:lastModifiedBy/>
  <dcterms:modified xsi:type="dcterms:W3CDTF">2026-08-05T21:01:19Z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